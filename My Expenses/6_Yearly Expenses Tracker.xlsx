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My Expenses\"/>
    </mc:Choice>
  </mc:AlternateContent>
  <xr:revisionPtr revIDLastSave="0" documentId="13_ncr:1_{FD366DA7-0E8B-400C-B5A0-E9C2B0C36613}" xr6:coauthVersionLast="47" xr6:coauthVersionMax="47" xr10:uidLastSave="{00000000-0000-0000-0000-000000000000}"/>
  <bookViews>
    <workbookView xWindow="-108" yWindow="-108" windowWidth="23256" windowHeight="12456" firstSheet="2" activeTab="6" xr2:uid="{00000000-000D-0000-FFFF-FFFF00000000}"/>
  </bookViews>
  <sheets>
    <sheet name="2022" sheetId="2" r:id="rId1"/>
    <sheet name="2023" sheetId="9" r:id="rId2"/>
    <sheet name="2024" sheetId="10" r:id="rId3"/>
    <sheet name="2025" sheetId="11" r:id="rId4"/>
    <sheet name="2026" sheetId="15" r:id="rId5"/>
    <sheet name="Total Expenses Sep-22 to Dec-25" sheetId="13" r:id="rId6"/>
    <sheet name="Total Expenses Jan-26 to Till" sheetId="1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45" i="15" l="1"/>
  <c r="Q41" i="15"/>
  <c r="Q37" i="15"/>
  <c r="Q27" i="15"/>
  <c r="Q24" i="15"/>
  <c r="Q20" i="15"/>
  <c r="Q18" i="15"/>
  <c r="Q3" i="15"/>
  <c r="P4" i="15"/>
  <c r="P5" i="15"/>
  <c r="P6" i="15"/>
  <c r="P7" i="15"/>
  <c r="P8" i="15"/>
  <c r="P9" i="15"/>
  <c r="P10" i="15"/>
  <c r="P11" i="15"/>
  <c r="P12" i="15"/>
  <c r="P13" i="15"/>
  <c r="P14" i="15"/>
  <c r="P15" i="15"/>
  <c r="P16" i="15"/>
  <c r="P17" i="15"/>
  <c r="P18" i="15"/>
  <c r="P19" i="15"/>
  <c r="P20" i="15"/>
  <c r="P21" i="15"/>
  <c r="P22" i="15"/>
  <c r="P23" i="15"/>
  <c r="P24" i="15"/>
  <c r="P25" i="15"/>
  <c r="P26" i="15"/>
  <c r="P27" i="15"/>
  <c r="P28" i="15"/>
  <c r="P29" i="15"/>
  <c r="P30" i="15"/>
  <c r="P31" i="15"/>
  <c r="P32" i="15"/>
  <c r="P33" i="15"/>
  <c r="P34" i="15"/>
  <c r="P35" i="15"/>
  <c r="P36" i="15"/>
  <c r="P37" i="15"/>
  <c r="P38" i="15"/>
  <c r="P39" i="15"/>
  <c r="P40" i="15"/>
  <c r="P41" i="15"/>
  <c r="P42" i="15"/>
  <c r="P43" i="15"/>
  <c r="P44" i="15"/>
  <c r="P3" i="15"/>
  <c r="P45" i="15" s="1"/>
  <c r="E45" i="15"/>
  <c r="F45" i="15"/>
  <c r="G45" i="15"/>
  <c r="H45" i="15"/>
  <c r="I45" i="15"/>
  <c r="J45" i="15"/>
  <c r="K45" i="15"/>
  <c r="L45" i="15"/>
  <c r="M45" i="15"/>
  <c r="N45" i="15"/>
  <c r="O45" i="15"/>
  <c r="D45" i="15"/>
  <c r="N48" i="11" l="1"/>
  <c r="P15" i="10" l="1"/>
  <c r="P4" i="10"/>
  <c r="P5" i="10"/>
  <c r="P6" i="10"/>
  <c r="P7" i="10"/>
  <c r="P8" i="10"/>
  <c r="P9" i="10"/>
  <c r="P10" i="10"/>
  <c r="P11" i="10"/>
  <c r="P12" i="10"/>
  <c r="P13" i="10"/>
  <c r="P14" i="10"/>
  <c r="P16" i="10"/>
  <c r="P17" i="10"/>
  <c r="P18" i="10"/>
  <c r="P19" i="10"/>
  <c r="P20" i="10"/>
  <c r="P21" i="10"/>
  <c r="P22" i="10"/>
  <c r="P23" i="10"/>
  <c r="P24" i="10"/>
  <c r="P25" i="10"/>
  <c r="P26" i="10"/>
  <c r="P27" i="10"/>
  <c r="P28" i="10"/>
  <c r="P29" i="10"/>
  <c r="P30" i="10"/>
  <c r="P31" i="10"/>
  <c r="P32" i="10"/>
  <c r="P33" i="10"/>
  <c r="P34" i="10"/>
  <c r="P35" i="10"/>
  <c r="P36" i="10"/>
  <c r="P37" i="10"/>
  <c r="P38" i="10"/>
  <c r="P39" i="10"/>
  <c r="P40" i="10"/>
  <c r="P41" i="10"/>
  <c r="P42" i="10"/>
  <c r="P43" i="10"/>
  <c r="P44" i="10"/>
  <c r="P45" i="10"/>
  <c r="P46" i="10"/>
  <c r="P47" i="10"/>
  <c r="Q47" i="10" s="1"/>
  <c r="P3" i="10"/>
  <c r="P4" i="9"/>
  <c r="P5" i="9"/>
  <c r="P6" i="9"/>
  <c r="P7" i="9"/>
  <c r="P8" i="9"/>
  <c r="P9" i="9"/>
  <c r="P10" i="9"/>
  <c r="P11" i="9"/>
  <c r="P12" i="9"/>
  <c r="P13" i="9"/>
  <c r="P14" i="9"/>
  <c r="P15" i="9"/>
  <c r="P16" i="9"/>
  <c r="P17" i="9"/>
  <c r="P18" i="9"/>
  <c r="P19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P33" i="9"/>
  <c r="P34" i="9"/>
  <c r="P35" i="9"/>
  <c r="P36" i="9"/>
  <c r="P37" i="9"/>
  <c r="P38" i="9"/>
  <c r="P39" i="9"/>
  <c r="P40" i="9"/>
  <c r="P41" i="9"/>
  <c r="P42" i="9"/>
  <c r="P43" i="9"/>
  <c r="P44" i="9"/>
  <c r="P45" i="9"/>
  <c r="P46" i="9"/>
  <c r="P47" i="9"/>
  <c r="Q47" i="9" s="1"/>
  <c r="P3" i="9"/>
  <c r="P4" i="2"/>
  <c r="P5" i="2"/>
  <c r="P6" i="2"/>
  <c r="P7" i="2"/>
  <c r="P8" i="2"/>
  <c r="P9" i="2"/>
  <c r="P10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P37" i="2"/>
  <c r="P38" i="2"/>
  <c r="P39" i="2"/>
  <c r="P40" i="2"/>
  <c r="P41" i="2"/>
  <c r="P42" i="2"/>
  <c r="P43" i="2"/>
  <c r="P44" i="2"/>
  <c r="P45" i="2"/>
  <c r="P46" i="2"/>
  <c r="P47" i="2"/>
  <c r="P3" i="2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2" i="11"/>
  <c r="P23" i="11"/>
  <c r="P24" i="11"/>
  <c r="P25" i="11"/>
  <c r="P26" i="11"/>
  <c r="P27" i="11"/>
  <c r="P28" i="11"/>
  <c r="P29" i="11"/>
  <c r="P30" i="11"/>
  <c r="P31" i="11"/>
  <c r="P32" i="11"/>
  <c r="P33" i="11"/>
  <c r="P34" i="11"/>
  <c r="P35" i="11"/>
  <c r="P36" i="11"/>
  <c r="P37" i="11"/>
  <c r="P38" i="11"/>
  <c r="P39" i="11"/>
  <c r="P40" i="11"/>
  <c r="P41" i="11"/>
  <c r="P42" i="11"/>
  <c r="P43" i="11"/>
  <c r="P44" i="11"/>
  <c r="P45" i="11"/>
  <c r="P46" i="11"/>
  <c r="P47" i="11"/>
  <c r="P3" i="11"/>
  <c r="E48" i="13"/>
  <c r="F48" i="13"/>
  <c r="D48" i="13"/>
  <c r="O48" i="11"/>
  <c r="M48" i="11"/>
  <c r="L48" i="11"/>
  <c r="K48" i="11"/>
  <c r="J48" i="11"/>
  <c r="I48" i="11"/>
  <c r="H48" i="11"/>
  <c r="G48" i="11"/>
  <c r="F48" i="11"/>
  <c r="E48" i="11"/>
  <c r="D48" i="11"/>
  <c r="O48" i="10"/>
  <c r="N48" i="10"/>
  <c r="M48" i="10"/>
  <c r="L48" i="10"/>
  <c r="K48" i="10"/>
  <c r="J48" i="10"/>
  <c r="I48" i="10"/>
  <c r="H48" i="10"/>
  <c r="G48" i="10"/>
  <c r="F48" i="10"/>
  <c r="E48" i="10"/>
  <c r="D48" i="10"/>
  <c r="E48" i="9"/>
  <c r="F48" i="9"/>
  <c r="G48" i="9"/>
  <c r="H48" i="9"/>
  <c r="I48" i="9"/>
  <c r="J48" i="9"/>
  <c r="K48" i="9"/>
  <c r="L48" i="9"/>
  <c r="M48" i="9"/>
  <c r="N48" i="9"/>
  <c r="O48" i="9"/>
  <c r="D48" i="9"/>
  <c r="O48" i="2"/>
  <c r="L48" i="2"/>
  <c r="Q16" i="9" l="1"/>
  <c r="G46" i="13"/>
  <c r="H46" i="13" s="1"/>
  <c r="G42" i="13"/>
  <c r="H42" i="13" s="1"/>
  <c r="G34" i="13"/>
  <c r="H34" i="13" s="1"/>
  <c r="G22" i="13"/>
  <c r="H22" i="13" s="1"/>
  <c r="G18" i="13"/>
  <c r="H18" i="13" s="1"/>
  <c r="G10" i="13"/>
  <c r="H10" i="13" s="1"/>
  <c r="G41" i="13"/>
  <c r="H41" i="13" s="1"/>
  <c r="G25" i="13"/>
  <c r="H25" i="13" s="1"/>
  <c r="G21" i="13"/>
  <c r="H21" i="13" s="1"/>
  <c r="G17" i="13"/>
  <c r="H17" i="13" s="1"/>
  <c r="G13" i="13"/>
  <c r="H13" i="13" s="1"/>
  <c r="G9" i="13"/>
  <c r="H9" i="13" s="1"/>
  <c r="G5" i="13"/>
  <c r="H5" i="13" s="1"/>
  <c r="G44" i="13"/>
  <c r="H44" i="13" s="1"/>
  <c r="G40" i="13"/>
  <c r="H40" i="13" s="1"/>
  <c r="G36" i="13"/>
  <c r="H36" i="13" s="1"/>
  <c r="G32" i="13"/>
  <c r="H32" i="13" s="1"/>
  <c r="G20" i="13"/>
  <c r="H20" i="13" s="1"/>
  <c r="G12" i="13"/>
  <c r="H12" i="13" s="1"/>
  <c r="G19" i="13"/>
  <c r="H19" i="13" s="1"/>
  <c r="G15" i="13"/>
  <c r="H15" i="13" s="1"/>
  <c r="G35" i="13"/>
  <c r="H35" i="13" s="1"/>
  <c r="G7" i="13"/>
  <c r="H7" i="13" s="1"/>
  <c r="G8" i="13"/>
  <c r="H8" i="13" s="1"/>
  <c r="G30" i="13"/>
  <c r="H30" i="13" s="1"/>
  <c r="G45" i="13"/>
  <c r="H45" i="13" s="1"/>
  <c r="G26" i="13"/>
  <c r="H26" i="13" s="1"/>
  <c r="G29" i="13"/>
  <c r="H29" i="13" s="1"/>
  <c r="G28" i="13"/>
  <c r="H28" i="13" s="1"/>
  <c r="G27" i="13"/>
  <c r="H27" i="13" s="1"/>
  <c r="Q47" i="11"/>
  <c r="G47" i="13"/>
  <c r="H47" i="13" s="1"/>
  <c r="I47" i="13" s="1"/>
  <c r="G24" i="13"/>
  <c r="H24" i="13" s="1"/>
  <c r="G43" i="13"/>
  <c r="H43" i="13" s="1"/>
  <c r="G33" i="13"/>
  <c r="H33" i="13" s="1"/>
  <c r="G31" i="13"/>
  <c r="H31" i="13" s="1"/>
  <c r="G23" i="13"/>
  <c r="H23" i="13" s="1"/>
  <c r="G16" i="13"/>
  <c r="H16" i="13" s="1"/>
  <c r="G11" i="13"/>
  <c r="H11" i="13" s="1"/>
  <c r="G4" i="13"/>
  <c r="H4" i="13" s="1"/>
  <c r="G3" i="13"/>
  <c r="H3" i="13" s="1"/>
  <c r="G6" i="13"/>
  <c r="H6" i="13" s="1"/>
  <c r="G14" i="13"/>
  <c r="H14" i="13" s="1"/>
  <c r="G39" i="13"/>
  <c r="H39" i="13" s="1"/>
  <c r="G38" i="13"/>
  <c r="H38" i="13" s="1"/>
  <c r="G37" i="13"/>
  <c r="Q3" i="9"/>
  <c r="Q36" i="11"/>
  <c r="P48" i="11"/>
  <c r="Q28" i="11"/>
  <c r="Q16" i="11"/>
  <c r="Q21" i="11"/>
  <c r="Q26" i="11"/>
  <c r="Q43" i="11"/>
  <c r="Q3" i="11"/>
  <c r="Q36" i="10"/>
  <c r="Q28" i="10"/>
  <c r="Q26" i="10"/>
  <c r="Q21" i="10"/>
  <c r="Q3" i="10"/>
  <c r="Q43" i="10"/>
  <c r="Q16" i="10"/>
  <c r="P48" i="10"/>
  <c r="Q28" i="9"/>
  <c r="Q36" i="9"/>
  <c r="Q26" i="9"/>
  <c r="Q43" i="9"/>
  <c r="Q21" i="9"/>
  <c r="P48" i="9"/>
  <c r="N48" i="2"/>
  <c r="Q47" i="2"/>
  <c r="M48" i="2"/>
  <c r="Q43" i="2"/>
  <c r="I21" i="13" l="1"/>
  <c r="I16" i="13"/>
  <c r="I43" i="13"/>
  <c r="I3" i="13"/>
  <c r="I28" i="13"/>
  <c r="I26" i="13"/>
  <c r="G48" i="13"/>
  <c r="H37" i="13"/>
  <c r="Q3" i="2"/>
  <c r="P48" i="2"/>
  <c r="Q28" i="2"/>
  <c r="Q16" i="2"/>
  <c r="Q36" i="2"/>
  <c r="Q26" i="2"/>
  <c r="Q21" i="2"/>
  <c r="Q48" i="11"/>
  <c r="Q48" i="10"/>
  <c r="Q48" i="9"/>
  <c r="I36" i="13" l="1"/>
  <c r="I48" i="13" s="1"/>
  <c r="H48" i="13"/>
</calcChain>
</file>

<file path=xl/sharedStrings.xml><?xml version="1.0" encoding="utf-8"?>
<sst xmlns="http://schemas.openxmlformats.org/spreadsheetml/2006/main" count="458" uniqueCount="85">
  <si>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</si>
  <si>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</si>
  <si>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</si>
  <si>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</si>
  <si>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</si>
  <si>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</si>
  <si>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</si>
  <si>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</si>
  <si>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</si>
  <si>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</si>
  <si>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</si>
  <si>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</si>
  <si>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Expense Category</t>
  </si>
  <si>
    <t>Essential Living</t>
  </si>
  <si>
    <t>Rent</t>
  </si>
  <si>
    <t>Electricity</t>
  </si>
  <si>
    <t>Water Bill</t>
  </si>
  <si>
    <t>Gas</t>
  </si>
  <si>
    <t>Fuel</t>
  </si>
  <si>
    <t>Groceries</t>
  </si>
  <si>
    <t>Dmart</t>
  </si>
  <si>
    <t>Internet / Wi-Fi</t>
  </si>
  <si>
    <t>Phone / Mobile Bill</t>
  </si>
  <si>
    <t>Property Tax</t>
  </si>
  <si>
    <t>LIC</t>
  </si>
  <si>
    <t>Term Plan</t>
  </si>
  <si>
    <t>House Help / Maid Salary</t>
  </si>
  <si>
    <t>Home Loan EMI</t>
  </si>
  <si>
    <t>Personal Loan</t>
  </si>
  <si>
    <t>Gold Loan</t>
  </si>
  <si>
    <t>Credit Card Payments</t>
  </si>
  <si>
    <t>Loans &amp; Financial</t>
  </si>
  <si>
    <t>Family &amp; Education</t>
  </si>
  <si>
    <t>Family Support</t>
  </si>
  <si>
    <t>School Fees</t>
  </si>
  <si>
    <t>Sports (Skating, Badminton, Cricket, Hockey)</t>
  </si>
  <si>
    <t>Hobbies (Drawing, Bharatnatyam, etc.)</t>
  </si>
  <si>
    <t>Health &amp; Medical</t>
  </si>
  <si>
    <t>Doctors</t>
  </si>
  <si>
    <t>Medicine</t>
  </si>
  <si>
    <t>Lifestyle &amp; Personal</t>
  </si>
  <si>
    <t>Clothing</t>
  </si>
  <si>
    <t>Dining Out</t>
  </si>
  <si>
    <t>Hair / Cosmetics</t>
  </si>
  <si>
    <t>Travel / Holiday Trips</t>
  </si>
  <si>
    <t>Investments &amp; Savings</t>
  </si>
  <si>
    <t>IWish</t>
  </si>
  <si>
    <t xml:space="preserve">SIP </t>
  </si>
  <si>
    <t>Mutual Funds</t>
  </si>
  <si>
    <t>Provident Fund</t>
  </si>
  <si>
    <t>Shares (Ashwini Shares)</t>
  </si>
  <si>
    <t>Gold Bhishi</t>
  </si>
  <si>
    <t>Miscellaneous</t>
  </si>
  <si>
    <t>Donations / Charity</t>
  </si>
  <si>
    <t>Gifts / Celebrations</t>
  </si>
  <si>
    <t>Other</t>
  </si>
  <si>
    <t>Expense Type</t>
  </si>
  <si>
    <t>Overall Expenses</t>
  </si>
  <si>
    <t>Krisala</t>
  </si>
  <si>
    <t>Krisala Self Contributions</t>
  </si>
  <si>
    <t>Post Office RD</t>
  </si>
  <si>
    <t>Expense Category Wise Yearly Total</t>
  </si>
  <si>
    <t>Total Yearly</t>
  </si>
  <si>
    <t>Other Expenses</t>
  </si>
  <si>
    <t>Movies</t>
  </si>
  <si>
    <t xml:space="preserve">Gym </t>
  </si>
  <si>
    <t>Membership(Google,Netflix,Education,Youtube)</t>
  </si>
  <si>
    <t>Gym</t>
  </si>
  <si>
    <t>Bike Repairs</t>
  </si>
  <si>
    <t>Education Expenses (Sport material,Books, Uniforms, Shoes, Stationery, etc.)</t>
  </si>
  <si>
    <t>Money Returned to Friend/Family</t>
  </si>
  <si>
    <t>Electricity Bill</t>
  </si>
  <si>
    <t>Fruits</t>
  </si>
  <si>
    <t>Vegetables</t>
  </si>
  <si>
    <t>Mobile Bill</t>
  </si>
  <si>
    <t>Maintenance / Society Charges / Property Tax</t>
  </si>
  <si>
    <t>Laundry</t>
  </si>
  <si>
    <t>Home / Gold / Personal Loan</t>
  </si>
  <si>
    <t>Education</t>
  </si>
  <si>
    <t>Lab Tests</t>
  </si>
  <si>
    <t>Gadgets / Electronics</t>
  </si>
  <si>
    <t>Hair / Cosmetics / Beauty Parlour</t>
  </si>
  <si>
    <t>Hobbies</t>
  </si>
  <si>
    <t>FD</t>
  </si>
  <si>
    <t>Bike Repairs /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</si>
</sst>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3" x14ac:knownFonts="1">
    <font>
      <sz val="11"/>
      <color theme="1"/>
      <name val="Calibri"/>
      <family val="2"/>
      <scheme val="minor"/>
    </font>
    <font>
      <b/>
      <sz val="14"/>
      <color theme="1"/>
      <name val="Bahnschrift"/>
      <family val="2"/>
    </font>
    <font>
      <b/>
      <sz val="14"/>
      <color theme="0"/>
      <name val="Aptos"/>
      <family val="2"/>
    </font>
  </fonts>
  <fills count="11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theme="0" tint="-0.14996795556505021"/>
      </patternFill>
    </fill>
    <fill>
      <patternFill patternType="solid">
        <fgColor rgb="FF00B0F0"/>
        <bgColor theme="0" tint="-0.14996795556505021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theme="0" tint="-0.14996795556505021"/>
      </patternFill>
    </fill>
    <fill>
      <patternFill patternType="solid">
        <fgColor rgb="FF0070C0"/>
        <bgColor theme="0" tint="-0.14996795556505021"/>
      </patternFill>
    </fill>
    <fill>
      <patternFill patternType="solid">
        <fgColor rgb="FF0070C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7">
    <xf numFmtId="0" fontId="0" fillId="0" borderId="0" xfId="0"/>
    <xf numFmtId="0" fontId="2" fillId="3" borderId="13" xfId="0" applyFont="1" applyFill="1" applyBorder="1" applyAlignment="1">
      <alignment horizontal="left" vertical="center" indent="1"/>
    </xf>
    <xf numFmtId="0" fontId="2" fillId="3" borderId="14" xfId="0" applyFont="1" applyFill="1" applyBorder="1" applyAlignment="1">
      <alignment horizontal="left" vertical="center" indent="1"/>
    </xf>
    <xf numFmtId="0" fontId="2" fillId="3" borderId="15" xfId="0" applyFont="1" applyFill="1" applyBorder="1" applyAlignment="1">
      <alignment horizontal="left" vertical="center" indent="1"/>
    </xf>
    <xf numFmtId="0" fontId="0" fillId="4" borderId="10" xfId="0" applyFill="1" applyBorder="1"/>
    <xf numFmtId="1" fontId="0" fillId="5" borderId="10" xfId="0" applyNumberFormat="1" applyFill="1" applyBorder="1" applyAlignment="1" applyProtection="1">
      <alignment horizontal="center" vertical="center"/>
      <protection locked="0"/>
    </xf>
    <xf numFmtId="1" fontId="0" fillId="5" borderId="10" xfId="0" applyNumberFormat="1" applyFill="1" applyBorder="1" applyAlignment="1">
      <alignment horizontal="center" vertical="center"/>
    </xf>
    <xf numFmtId="0" fontId="0" fillId="4" borderId="1" xfId="0" applyFill="1" applyBorder="1"/>
    <xf numFmtId="1" fontId="0" fillId="4" borderId="1" xfId="0" applyNumberFormat="1" applyFill="1" applyBorder="1" applyAlignment="1" applyProtection="1">
      <alignment horizontal="center" vertical="center"/>
      <protection locked="0"/>
    </xf>
    <xf numFmtId="1" fontId="0" fillId="5" borderId="1" xfId="0" applyNumberFormat="1" applyFill="1" applyBorder="1" applyAlignment="1">
      <alignment horizontal="center" vertical="center"/>
    </xf>
    <xf numFmtId="1" fontId="0" fillId="5" borderId="1" xfId="0" applyNumberFormat="1" applyFill="1" applyBorder="1" applyAlignment="1" applyProtection="1">
      <alignment horizontal="center" vertical="center"/>
      <protection locked="0"/>
    </xf>
    <xf numFmtId="1" fontId="0" fillId="4" borderId="1" xfId="0" applyNumberFormat="1" applyFill="1" applyBorder="1" applyAlignment="1">
      <alignment horizontal="center"/>
    </xf>
    <xf numFmtId="0" fontId="0" fillId="4" borderId="11" xfId="0" applyFill="1" applyBorder="1"/>
    <xf numFmtId="1" fontId="0" fillId="5" borderId="11" xfId="0" applyNumberFormat="1" applyFill="1" applyBorder="1" applyAlignment="1" applyProtection="1">
      <alignment horizontal="center" vertical="center"/>
      <protection locked="0"/>
    </xf>
    <xf numFmtId="1" fontId="0" fillId="5" borderId="11" xfId="0" applyNumberFormat="1" applyFill="1" applyBorder="1" applyAlignment="1">
      <alignment horizontal="center" vertical="center"/>
    </xf>
    <xf numFmtId="1" fontId="0" fillId="4" borderId="10" xfId="0" applyNumberFormat="1" applyFill="1" applyBorder="1" applyAlignment="1" applyProtection="1">
      <alignment horizontal="center" vertical="center"/>
      <protection locked="0"/>
    </xf>
    <xf numFmtId="164" fontId="0" fillId="4" borderId="1" xfId="0" applyNumberFormat="1" applyFill="1" applyBorder="1" applyAlignment="1" applyProtection="1">
      <alignment horizontal="left"/>
      <protection locked="0"/>
    </xf>
    <xf numFmtId="1" fontId="0" fillId="7" borderId="12" xfId="0" applyNumberFormat="1" applyFill="1" applyBorder="1" applyAlignment="1">
      <alignment horizontal="center" vertical="center"/>
    </xf>
    <xf numFmtId="1" fontId="0" fillId="7" borderId="7" xfId="0" applyNumberFormat="1" applyFill="1" applyBorder="1" applyAlignment="1">
      <alignment horizontal="center" vertical="center"/>
    </xf>
    <xf numFmtId="0" fontId="0" fillId="2" borderId="10" xfId="0" applyFill="1" applyBorder="1"/>
    <xf numFmtId="1" fontId="0" fillId="2" borderId="10" xfId="0" applyNumberFormat="1" applyFill="1" applyBorder="1" applyAlignment="1" applyProtection="1">
      <alignment horizontal="center" vertical="center"/>
      <protection locked="0"/>
    </xf>
    <xf numFmtId="1" fontId="0" fillId="8" borderId="10" xfId="0" applyNumberFormat="1" applyFill="1" applyBorder="1" applyAlignment="1">
      <alignment horizontal="center" vertical="center"/>
    </xf>
    <xf numFmtId="0" fontId="0" fillId="2" borderId="1" xfId="0" applyFill="1" applyBorder="1"/>
    <xf numFmtId="1" fontId="0" fillId="8" borderId="1" xfId="0" applyNumberFormat="1" applyFill="1" applyBorder="1" applyAlignment="1" applyProtection="1">
      <alignment horizontal="center" vertical="center"/>
      <protection locked="0"/>
    </xf>
    <xf numFmtId="1" fontId="0" fillId="8" borderId="1" xfId="0" applyNumberFormat="1" applyFill="1" applyBorder="1" applyAlignment="1">
      <alignment horizontal="center" vertical="center"/>
    </xf>
    <xf numFmtId="1" fontId="0" fillId="2" borderId="1" xfId="0" applyNumberFormat="1" applyFill="1" applyBorder="1" applyAlignment="1" applyProtection="1">
      <alignment horizontal="center" vertical="center"/>
      <protection locked="0"/>
    </xf>
    <xf numFmtId="0" fontId="0" fillId="2" borderId="11" xfId="0" applyFill="1" applyBorder="1"/>
    <xf numFmtId="1" fontId="0" fillId="2" borderId="11" xfId="0" applyNumberFormat="1" applyFill="1" applyBorder="1" applyAlignment="1">
      <alignment horizontal="center"/>
    </xf>
    <xf numFmtId="1" fontId="0" fillId="8" borderId="11" xfId="0" applyNumberFormat="1" applyFill="1" applyBorder="1" applyAlignment="1">
      <alignment horizontal="center" vertical="center"/>
    </xf>
    <xf numFmtId="1" fontId="0" fillId="2" borderId="10" xfId="0" applyNumberFormat="1" applyFill="1" applyBorder="1" applyAlignment="1">
      <alignment horizontal="center"/>
    </xf>
    <xf numFmtId="164" fontId="0" fillId="8" borderId="11" xfId="0" applyNumberFormat="1" applyFill="1" applyBorder="1" applyAlignment="1" applyProtection="1">
      <alignment vertical="top"/>
      <protection locked="0"/>
    </xf>
    <xf numFmtId="1" fontId="0" fillId="8" borderId="11" xfId="0" applyNumberFormat="1" applyFill="1" applyBorder="1" applyAlignment="1" applyProtection="1">
      <alignment horizontal="center" vertical="center"/>
      <protection locked="0"/>
    </xf>
    <xf numFmtId="1" fontId="0" fillId="2" borderId="1" xfId="0" applyNumberFormat="1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/>
    <xf numFmtId="1" fontId="0" fillId="8" borderId="12" xfId="0" applyNumberFormat="1" applyFill="1" applyBorder="1" applyAlignment="1" applyProtection="1">
      <alignment horizontal="center" vertical="center"/>
      <protection locked="0"/>
    </xf>
    <xf numFmtId="1" fontId="0" fillId="8" borderId="12" xfId="0" applyNumberFormat="1" applyFill="1" applyBorder="1" applyAlignment="1">
      <alignment horizontal="center" vertical="center"/>
    </xf>
    <xf numFmtId="1" fontId="0" fillId="2" borderId="7" xfId="0" applyNumberFormat="1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7" borderId="16" xfId="0" applyNumberFormat="1" applyFill="1" applyBorder="1" applyAlignment="1">
      <alignment horizontal="center" vertical="center"/>
    </xf>
    <xf numFmtId="1" fontId="0" fillId="7" borderId="17" xfId="0" applyNumberFormat="1" applyFill="1" applyBorder="1" applyAlignment="1">
      <alignment horizontal="center" vertical="center"/>
    </xf>
    <xf numFmtId="164" fontId="0" fillId="8" borderId="1" xfId="0" applyNumberFormat="1" applyFill="1" applyBorder="1" applyAlignment="1" applyProtection="1">
      <alignment vertical="top"/>
      <protection locked="0"/>
    </xf>
    <xf numFmtId="1" fontId="0" fillId="2" borderId="9" xfId="0" applyNumberForma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left" vertical="center" indent="1"/>
    </xf>
    <xf numFmtId="0" fontId="2" fillId="3" borderId="12" xfId="0" applyFont="1" applyFill="1" applyBorder="1" applyAlignment="1">
      <alignment horizontal="left" vertical="center" indent="1"/>
    </xf>
    <xf numFmtId="0" fontId="2" fillId="3" borderId="7" xfId="0" applyFont="1" applyFill="1" applyBorder="1" applyAlignment="1">
      <alignment horizontal="left" vertical="center" indent="1"/>
    </xf>
    <xf numFmtId="0" fontId="0" fillId="4" borderId="3" xfId="0" applyFill="1" applyBorder="1"/>
    <xf numFmtId="0" fontId="0" fillId="4" borderId="5" xfId="0" applyFill="1" applyBorder="1"/>
    <xf numFmtId="0" fontId="0" fillId="4" borderId="9" xfId="0" applyFill="1" applyBorder="1"/>
    <xf numFmtId="0" fontId="0" fillId="2" borderId="3" xfId="0" applyFill="1" applyBorder="1"/>
    <xf numFmtId="0" fontId="0" fillId="2" borderId="9" xfId="0" applyFill="1" applyBorder="1"/>
    <xf numFmtId="0" fontId="0" fillId="2" borderId="5" xfId="0" applyFill="1" applyBorder="1"/>
    <xf numFmtId="1" fontId="0" fillId="5" borderId="3" xfId="0" applyNumberFormat="1" applyFill="1" applyBorder="1" applyAlignment="1" applyProtection="1">
      <alignment horizontal="center" vertical="center"/>
      <protection locked="0"/>
    </xf>
    <xf numFmtId="1" fontId="0" fillId="4" borderId="5" xfId="0" applyNumberFormat="1" applyFill="1" applyBorder="1" applyAlignment="1" applyProtection="1">
      <alignment horizontal="center" vertical="center"/>
      <protection locked="0"/>
    </xf>
    <xf numFmtId="1" fontId="0" fillId="5" borderId="5" xfId="0" applyNumberFormat="1" applyFill="1" applyBorder="1" applyAlignment="1" applyProtection="1">
      <alignment horizontal="center" vertical="center"/>
      <protection locked="0"/>
    </xf>
    <xf numFmtId="1" fontId="0" fillId="4" borderId="5" xfId="0" applyNumberFormat="1" applyFill="1" applyBorder="1" applyAlignment="1">
      <alignment horizontal="center"/>
    </xf>
    <xf numFmtId="1" fontId="0" fillId="4" borderId="20" xfId="0" applyNumberFormat="1" applyFill="1" applyBorder="1" applyAlignment="1">
      <alignment horizontal="center"/>
    </xf>
    <xf numFmtId="1" fontId="0" fillId="5" borderId="9" xfId="0" applyNumberFormat="1" applyFill="1" applyBorder="1" applyAlignment="1" applyProtection="1">
      <alignment horizontal="center" vertical="center"/>
      <protection locked="0"/>
    </xf>
    <xf numFmtId="1" fontId="0" fillId="2" borderId="3" xfId="0" applyNumberFormat="1" applyFill="1" applyBorder="1" applyAlignment="1" applyProtection="1">
      <alignment horizontal="center" vertical="center"/>
      <protection locked="0"/>
    </xf>
    <xf numFmtId="1" fontId="0" fillId="8" borderId="5" xfId="0" applyNumberFormat="1" applyFill="1" applyBorder="1" applyAlignment="1" applyProtection="1">
      <alignment horizontal="center" vertical="center"/>
      <protection locked="0"/>
    </xf>
    <xf numFmtId="1" fontId="0" fillId="2" borderId="3" xfId="0" applyNumberFormat="1" applyFill="1" applyBorder="1" applyAlignment="1">
      <alignment horizontal="center"/>
    </xf>
    <xf numFmtId="1" fontId="0" fillId="2" borderId="5" xfId="0" applyNumberFormat="1" applyFill="1" applyBorder="1" applyAlignment="1">
      <alignment horizontal="center"/>
    </xf>
    <xf numFmtId="1" fontId="0" fillId="8" borderId="9" xfId="0" applyNumberFormat="1" applyFill="1" applyBorder="1" applyAlignment="1" applyProtection="1">
      <alignment horizontal="center" vertical="center"/>
      <protection locked="0"/>
    </xf>
    <xf numFmtId="1" fontId="0" fillId="2" borderId="5" xfId="0" applyNumberFormat="1" applyFill="1" applyBorder="1" applyAlignment="1" applyProtection="1">
      <alignment horizontal="center" vertical="center"/>
      <protection locked="0"/>
    </xf>
    <xf numFmtId="1" fontId="0" fillId="2" borderId="9" xfId="0" applyNumberFormat="1" applyFill="1" applyBorder="1" applyAlignment="1">
      <alignment horizontal="center"/>
    </xf>
    <xf numFmtId="1" fontId="0" fillId="4" borderId="3" xfId="0" applyNumberFormat="1" applyFill="1" applyBorder="1" applyAlignment="1" applyProtection="1">
      <alignment horizontal="center" vertical="center"/>
      <protection locked="0"/>
    </xf>
    <xf numFmtId="1" fontId="0" fillId="5" borderId="22" xfId="0" applyNumberFormat="1" applyFill="1" applyBorder="1" applyAlignment="1" applyProtection="1">
      <alignment horizontal="center" vertical="center"/>
      <protection locked="0"/>
    </xf>
    <xf numFmtId="1" fontId="0" fillId="4" borderId="23" xfId="0" applyNumberFormat="1" applyFill="1" applyBorder="1" applyAlignment="1" applyProtection="1">
      <alignment horizontal="center" vertical="center"/>
      <protection locked="0"/>
    </xf>
    <xf numFmtId="1" fontId="0" fillId="5" borderId="23" xfId="0" applyNumberFormat="1" applyFill="1" applyBorder="1" applyAlignment="1" applyProtection="1">
      <alignment horizontal="center" vertical="center"/>
      <protection locked="0"/>
    </xf>
    <xf numFmtId="1" fontId="0" fillId="4" borderId="23" xfId="0" applyNumberFormat="1" applyFill="1" applyBorder="1" applyAlignment="1">
      <alignment horizontal="center"/>
    </xf>
    <xf numFmtId="1" fontId="0" fillId="4" borderId="25" xfId="0" applyNumberFormat="1" applyFill="1" applyBorder="1" applyAlignment="1">
      <alignment horizontal="center"/>
    </xf>
    <xf numFmtId="1" fontId="0" fillId="5" borderId="24" xfId="0" applyNumberFormat="1" applyFill="1" applyBorder="1" applyAlignment="1" applyProtection="1">
      <alignment horizontal="center" vertical="center"/>
      <protection locked="0"/>
    </xf>
    <xf numFmtId="1" fontId="0" fillId="2" borderId="22" xfId="0" applyNumberFormat="1" applyFill="1" applyBorder="1" applyAlignment="1" applyProtection="1">
      <alignment horizontal="center" vertical="center"/>
      <protection locked="0"/>
    </xf>
    <xf numFmtId="1" fontId="0" fillId="8" borderId="23" xfId="0" applyNumberFormat="1" applyFill="1" applyBorder="1" applyAlignment="1" applyProtection="1">
      <alignment horizontal="center" vertical="center"/>
      <protection locked="0"/>
    </xf>
    <xf numFmtId="1" fontId="0" fillId="2" borderId="22" xfId="0" applyNumberFormat="1" applyFill="1" applyBorder="1" applyAlignment="1">
      <alignment horizontal="center"/>
    </xf>
    <xf numFmtId="1" fontId="0" fillId="2" borderId="23" xfId="0" applyNumberFormat="1" applyFill="1" applyBorder="1" applyAlignment="1">
      <alignment horizontal="center"/>
    </xf>
    <xf numFmtId="1" fontId="0" fillId="8" borderId="24" xfId="0" applyNumberFormat="1" applyFill="1" applyBorder="1" applyAlignment="1" applyProtection="1">
      <alignment horizontal="center" vertical="center"/>
      <protection locked="0"/>
    </xf>
    <xf numFmtId="1" fontId="0" fillId="2" borderId="23" xfId="0" applyNumberFormat="1" applyFill="1" applyBorder="1" applyAlignment="1" applyProtection="1">
      <alignment horizontal="center" vertical="center"/>
      <protection locked="0"/>
    </xf>
    <xf numFmtId="1" fontId="0" fillId="2" borderId="24" xfId="0" applyNumberFormat="1" applyFill="1" applyBorder="1" applyAlignment="1">
      <alignment horizontal="center"/>
    </xf>
    <xf numFmtId="1" fontId="0" fillId="4" borderId="22" xfId="0" applyNumberForma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3" borderId="28" xfId="0" applyFont="1" applyFill="1" applyBorder="1" applyAlignment="1">
      <alignment horizontal="left" vertical="center" indent="1"/>
    </xf>
    <xf numFmtId="0" fontId="0" fillId="4" borderId="29" xfId="0" applyFill="1" applyBorder="1"/>
    <xf numFmtId="0" fontId="0" fillId="2" borderId="29" xfId="0" applyFill="1" applyBorder="1"/>
    <xf numFmtId="0" fontId="2" fillId="3" borderId="28" xfId="0" applyFont="1" applyFill="1" applyBorder="1" applyAlignment="1">
      <alignment horizontal="center" vertical="center"/>
    </xf>
    <xf numFmtId="1" fontId="0" fillId="4" borderId="29" xfId="0" applyNumberFormat="1" applyFill="1" applyBorder="1" applyAlignment="1">
      <alignment horizontal="center"/>
    </xf>
    <xf numFmtId="1" fontId="0" fillId="7" borderId="12" xfId="0" applyNumberFormat="1" applyFill="1" applyBorder="1"/>
    <xf numFmtId="1" fontId="0" fillId="7" borderId="27" xfId="0" applyNumberFormat="1" applyFill="1" applyBorder="1"/>
    <xf numFmtId="1" fontId="0" fillId="7" borderId="26" xfId="0" applyNumberFormat="1" applyFill="1" applyBorder="1"/>
    <xf numFmtId="1" fontId="0" fillId="7" borderId="26" xfId="0" applyNumberFormat="1" applyFill="1" applyBorder="1" applyAlignment="1">
      <alignment horizontal="center"/>
    </xf>
    <xf numFmtId="1" fontId="0" fillId="7" borderId="26" xfId="0" applyNumberFormat="1" applyFill="1" applyBorder="1" applyAlignment="1">
      <alignment horizontal="center" vertical="center"/>
    </xf>
    <xf numFmtId="0" fontId="2" fillId="3" borderId="21" xfId="0" applyFont="1" applyFill="1" applyBorder="1" applyAlignment="1">
      <alignment horizontal="left" vertical="center" indent="1"/>
    </xf>
    <xf numFmtId="0" fontId="0" fillId="4" borderId="31" xfId="0" applyFill="1" applyBorder="1"/>
    <xf numFmtId="1" fontId="0" fillId="4" borderId="31" xfId="0" applyNumberFormat="1" applyFill="1" applyBorder="1" applyAlignment="1">
      <alignment horizontal="center"/>
    </xf>
    <xf numFmtId="0" fontId="0" fillId="4" borderId="30" xfId="0" applyFill="1" applyBorder="1"/>
    <xf numFmtId="1" fontId="0" fillId="4" borderId="30" xfId="0" applyNumberFormat="1" applyFill="1" applyBorder="1" applyAlignment="1">
      <alignment horizontal="center"/>
    </xf>
    <xf numFmtId="0" fontId="0" fillId="2" borderId="31" xfId="0" applyFill="1" applyBorder="1"/>
    <xf numFmtId="0" fontId="0" fillId="2" borderId="30" xfId="0" applyFill="1" applyBorder="1"/>
    <xf numFmtId="1" fontId="0" fillId="8" borderId="3" xfId="0" applyNumberFormat="1" applyFill="1" applyBorder="1" applyAlignment="1" applyProtection="1">
      <alignment horizontal="center" vertical="center"/>
      <protection locked="0"/>
    </xf>
    <xf numFmtId="1" fontId="0" fillId="8" borderId="22" xfId="0" applyNumberFormat="1" applyFill="1" applyBorder="1" applyAlignment="1" applyProtection="1">
      <alignment horizontal="center" vertical="center"/>
      <protection locked="0"/>
    </xf>
    <xf numFmtId="0" fontId="0" fillId="4" borderId="0" xfId="0" applyFill="1"/>
    <xf numFmtId="0" fontId="0" fillId="10" borderId="12" xfId="0" applyFill="1" applyBorder="1"/>
    <xf numFmtId="0" fontId="0" fillId="10" borderId="7" xfId="0" applyFill="1" applyBorder="1"/>
    <xf numFmtId="0" fontId="0" fillId="4" borderId="2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1" fillId="9" borderId="6" xfId="0" applyFont="1" applyFill="1" applyBorder="1" applyAlignment="1">
      <alignment horizontal="center" vertical="center"/>
    </xf>
    <xf numFmtId="0" fontId="1" fillId="9" borderId="12" xfId="0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1" fontId="0" fillId="4" borderId="3" xfId="0" applyNumberFormat="1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1" fontId="0" fillId="2" borderId="3" xfId="0" applyNumberForma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1" fontId="0" fillId="2" borderId="5" xfId="0" applyNumberFormat="1" applyFill="1" applyBorder="1" applyAlignment="1">
      <alignment horizontal="center" vertical="center"/>
    </xf>
    <xf numFmtId="1" fontId="0" fillId="4" borderId="5" xfId="0" applyNumberFormat="1" applyFill="1" applyBorder="1" applyAlignment="1">
      <alignment horizontal="center" vertical="center"/>
    </xf>
    <xf numFmtId="0" fontId="1" fillId="6" borderId="18" xfId="0" applyFont="1" applyFill="1" applyBorder="1" applyAlignment="1">
      <alignment horizontal="center" vertical="center"/>
    </xf>
    <xf numFmtId="0" fontId="1" fillId="6" borderId="16" xfId="0" applyFont="1" applyFill="1" applyBorder="1" applyAlignment="1">
      <alignment horizontal="center" vertical="center"/>
    </xf>
    <xf numFmtId="1" fontId="0" fillId="2" borderId="31" xfId="0" applyNumberFormat="1" applyFill="1" applyBorder="1" applyAlignment="1">
      <alignment horizontal="center" vertical="center"/>
    </xf>
    <xf numFmtId="0" fontId="0" fillId="2" borderId="29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1" fontId="0" fillId="4" borderId="31" xfId="0" applyNumberFormat="1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/>
    </xf>
    <xf numFmtId="0" fontId="0" fillId="4" borderId="19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0F748E-3E54-46AF-935F-900CB1939737}">
  <dimension ref="B1:Q48"/>
  <sheetViews>
    <sheetView topLeftCell="C21" zoomScale="80" zoomScaleNormal="80" workbookViewId="0">
      <selection activeCell="Q3" sqref="Q3:Q15"/>
    </sheetView>
  </sheetViews>
  <sheetFormatPr defaultRowHeight="14.4" x14ac:dyDescent="0.3"/>
  <cols>
    <col min="2" max="2" width="37" bestFit="1" customWidth="1"/>
    <col min="3" max="3" width="66.44140625" bestFit="1" customWidth="1"/>
    <col min="12" max="12" width="11.21875" bestFit="1" customWidth="1"/>
    <col min="16" max="16" width="16.6640625" bestFit="1" customWidth="1"/>
    <col min="17" max="17" width="46.5546875" customWidth="1"/>
  </cols>
  <sheetData>
    <row r="1" spans="2:17" ht="15" thickBot="1" x14ac:dyDescent="0.35"/>
    <row r="2" spans="2:17" ht="18.600000000000001" thickBot="1" x14ac:dyDescent="0.35">
      <c r="B2" s="1" t="s">
        <v>12</v>
      </c>
      <c r="C2" s="2" t="s">
        <v>56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62</v>
      </c>
      <c r="Q2" s="3" t="s">
        <v>61</v>
      </c>
    </row>
    <row r="3" spans="2:17" x14ac:dyDescent="0.3">
      <c r="B3" s="105" t="s">
        <v>13</v>
      </c>
      <c r="C3" s="4" t="s">
        <v>20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4500</v>
      </c>
      <c r="N3" s="5">
        <v>985</v>
      </c>
      <c r="O3" s="5">
        <v>5000</v>
      </c>
      <c r="P3" s="6">
        <f>SUM(D3:O3)</f>
        <v>10485</v>
      </c>
      <c r="Q3" s="117">
        <f>SUM(P3:P15)</f>
        <v>117831</v>
      </c>
    </row>
    <row r="4" spans="2:17" x14ac:dyDescent="0.3">
      <c r="B4" s="106"/>
      <c r="C4" s="7" t="s">
        <v>15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390</v>
      </c>
      <c r="M4" s="8">
        <v>450</v>
      </c>
      <c r="N4" s="8">
        <v>810</v>
      </c>
      <c r="O4" s="8">
        <v>750</v>
      </c>
      <c r="P4" s="9">
        <f t="shared" ref="P4:P47" si="0">SUM(D4:O4)</f>
        <v>2400</v>
      </c>
      <c r="Q4" s="118"/>
    </row>
    <row r="5" spans="2:17" x14ac:dyDescent="0.3">
      <c r="B5" s="106"/>
      <c r="C5" s="7" t="s">
        <v>18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1500</v>
      </c>
      <c r="P5" s="9">
        <f t="shared" si="0"/>
        <v>1500</v>
      </c>
      <c r="Q5" s="118"/>
    </row>
    <row r="6" spans="2:17" x14ac:dyDescent="0.3">
      <c r="B6" s="106"/>
      <c r="C6" s="7" t="s">
        <v>17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1056</v>
      </c>
      <c r="O6" s="8">
        <v>1056</v>
      </c>
      <c r="P6" s="9">
        <f t="shared" si="0"/>
        <v>2112</v>
      </c>
      <c r="Q6" s="118"/>
    </row>
    <row r="7" spans="2:17" x14ac:dyDescent="0.3">
      <c r="B7" s="106"/>
      <c r="C7" s="7" t="s">
        <v>19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1000</v>
      </c>
      <c r="O7" s="10">
        <v>800</v>
      </c>
      <c r="P7" s="9">
        <f t="shared" si="0"/>
        <v>1800</v>
      </c>
      <c r="Q7" s="118"/>
    </row>
    <row r="8" spans="2:17" x14ac:dyDescent="0.3">
      <c r="B8" s="106"/>
      <c r="C8" s="7" t="s">
        <v>26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9">
        <f t="shared" si="0"/>
        <v>0</v>
      </c>
      <c r="Q8" s="118"/>
    </row>
    <row r="9" spans="2:17" x14ac:dyDescent="0.3">
      <c r="B9" s="106"/>
      <c r="C9" s="7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9">
        <f t="shared" si="0"/>
        <v>0</v>
      </c>
      <c r="Q9" s="118"/>
    </row>
    <row r="10" spans="2:17" x14ac:dyDescent="0.3">
      <c r="B10" s="106"/>
      <c r="C10" s="7" t="s">
        <v>24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52065</v>
      </c>
      <c r="M10" s="8">
        <v>0</v>
      </c>
      <c r="N10" s="8">
        <v>0</v>
      </c>
      <c r="O10" s="8">
        <v>4715</v>
      </c>
      <c r="P10" s="9">
        <f t="shared" si="0"/>
        <v>56780</v>
      </c>
      <c r="Q10" s="118"/>
    </row>
    <row r="11" spans="2:17" x14ac:dyDescent="0.3">
      <c r="B11" s="106"/>
      <c r="C11" s="7" t="s">
        <v>22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155</v>
      </c>
      <c r="M11" s="10">
        <v>0</v>
      </c>
      <c r="N11" s="10">
        <v>1799</v>
      </c>
      <c r="O11" s="10">
        <v>0</v>
      </c>
      <c r="P11" s="9">
        <f t="shared" si="0"/>
        <v>1954</v>
      </c>
      <c r="Q11" s="118"/>
    </row>
    <row r="12" spans="2:17" x14ac:dyDescent="0.3">
      <c r="B12" s="106"/>
      <c r="C12" s="7" t="s">
        <v>23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9">
        <f t="shared" si="0"/>
        <v>0</v>
      </c>
      <c r="Q12" s="118"/>
    </row>
    <row r="13" spans="2:17" x14ac:dyDescent="0.3">
      <c r="B13" s="106"/>
      <c r="C13" s="7" t="s">
        <v>14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7500</v>
      </c>
      <c r="M13" s="10">
        <v>7500</v>
      </c>
      <c r="N13" s="10">
        <v>7500</v>
      </c>
      <c r="O13" s="10">
        <v>7500</v>
      </c>
      <c r="P13" s="9">
        <f t="shared" si="0"/>
        <v>30000</v>
      </c>
      <c r="Q13" s="118"/>
    </row>
    <row r="14" spans="2:17" x14ac:dyDescent="0.3">
      <c r="B14" s="106"/>
      <c r="C14" s="7" t="s">
        <v>25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2700</v>
      </c>
      <c r="M14" s="11">
        <v>2760</v>
      </c>
      <c r="N14" s="11">
        <v>2670</v>
      </c>
      <c r="O14" s="11">
        <v>2670</v>
      </c>
      <c r="P14" s="9">
        <f t="shared" si="0"/>
        <v>10800</v>
      </c>
      <c r="Q14" s="118"/>
    </row>
    <row r="15" spans="2:17" ht="15" thickBot="1" x14ac:dyDescent="0.35">
      <c r="B15" s="107"/>
      <c r="C15" s="12" t="s">
        <v>16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4">
        <f t="shared" si="0"/>
        <v>0</v>
      </c>
      <c r="Q15" s="119"/>
    </row>
    <row r="16" spans="2:17" x14ac:dyDescent="0.3">
      <c r="B16" s="110" t="s">
        <v>31</v>
      </c>
      <c r="C16" s="19" t="s">
        <v>30</v>
      </c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10000</v>
      </c>
      <c r="M16" s="20">
        <v>0</v>
      </c>
      <c r="N16" s="20">
        <v>22280</v>
      </c>
      <c r="O16" s="20">
        <v>7400</v>
      </c>
      <c r="P16" s="21">
        <f t="shared" si="0"/>
        <v>39680</v>
      </c>
      <c r="Q16" s="120">
        <f>SUM(P16:P20)</f>
        <v>292995</v>
      </c>
    </row>
    <row r="17" spans="2:17" x14ac:dyDescent="0.3">
      <c r="B17" s="123"/>
      <c r="C17" s="22" t="s">
        <v>29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f t="shared" si="0"/>
        <v>0</v>
      </c>
      <c r="Q17" s="121"/>
    </row>
    <row r="18" spans="2:17" x14ac:dyDescent="0.3">
      <c r="B18" s="123"/>
      <c r="C18" s="22" t="s">
        <v>27</v>
      </c>
      <c r="D18" s="25">
        <v>0</v>
      </c>
      <c r="E18" s="25">
        <v>0</v>
      </c>
      <c r="F18" s="25">
        <v>0</v>
      </c>
      <c r="G18" s="25">
        <v>0</v>
      </c>
      <c r="H18" s="25">
        <v>0</v>
      </c>
      <c r="I18" s="25">
        <v>0</v>
      </c>
      <c r="J18" s="25">
        <v>0</v>
      </c>
      <c r="K18" s="25">
        <v>0</v>
      </c>
      <c r="L18" s="25">
        <v>19000</v>
      </c>
      <c r="M18" s="25">
        <v>19000</v>
      </c>
      <c r="N18" s="25">
        <v>20000</v>
      </c>
      <c r="O18" s="25">
        <v>20000</v>
      </c>
      <c r="P18" s="24">
        <f t="shared" si="0"/>
        <v>78000</v>
      </c>
      <c r="Q18" s="121"/>
    </row>
    <row r="19" spans="2:17" x14ac:dyDescent="0.3">
      <c r="B19" s="123"/>
      <c r="C19" s="22" t="s">
        <v>70</v>
      </c>
      <c r="D19" s="23">
        <v>0</v>
      </c>
      <c r="E19" s="23">
        <v>0</v>
      </c>
      <c r="F19" s="23">
        <v>0</v>
      </c>
      <c r="G19" s="23">
        <v>0</v>
      </c>
      <c r="H19" s="23">
        <v>0</v>
      </c>
      <c r="I19" s="23">
        <v>0</v>
      </c>
      <c r="J19" s="23">
        <v>0</v>
      </c>
      <c r="K19" s="23">
        <v>0</v>
      </c>
      <c r="L19" s="23">
        <v>21000</v>
      </c>
      <c r="M19" s="23">
        <v>100000</v>
      </c>
      <c r="N19" s="23">
        <v>54315</v>
      </c>
      <c r="O19" s="23">
        <v>0</v>
      </c>
      <c r="P19" s="24">
        <f t="shared" si="0"/>
        <v>175315</v>
      </c>
      <c r="Q19" s="121"/>
    </row>
    <row r="20" spans="2:17" ht="15" thickBot="1" x14ac:dyDescent="0.35">
      <c r="B20" s="111"/>
      <c r="C20" s="26" t="s">
        <v>28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8">
        <f t="shared" si="0"/>
        <v>0</v>
      </c>
      <c r="Q20" s="122"/>
    </row>
    <row r="21" spans="2:17" x14ac:dyDescent="0.3">
      <c r="B21" s="105" t="s">
        <v>32</v>
      </c>
      <c r="C21" s="4" t="s">
        <v>69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6">
        <f t="shared" si="0"/>
        <v>0</v>
      </c>
      <c r="Q21" s="117">
        <f>SUM(P21:P25)</f>
        <v>58330</v>
      </c>
    </row>
    <row r="22" spans="2:17" x14ac:dyDescent="0.3">
      <c r="B22" s="106"/>
      <c r="C22" s="7" t="s">
        <v>33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25000</v>
      </c>
      <c r="O22" s="8">
        <v>3000</v>
      </c>
      <c r="P22" s="9">
        <f t="shared" si="0"/>
        <v>28000</v>
      </c>
      <c r="Q22" s="118"/>
    </row>
    <row r="23" spans="2:17" x14ac:dyDescent="0.3">
      <c r="B23" s="106"/>
      <c r="C23" s="7" t="s">
        <v>36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1000</v>
      </c>
      <c r="M23" s="10">
        <v>1000</v>
      </c>
      <c r="N23" s="10">
        <v>830</v>
      </c>
      <c r="O23" s="10">
        <v>1500</v>
      </c>
      <c r="P23" s="9">
        <f t="shared" si="0"/>
        <v>4330</v>
      </c>
      <c r="Q23" s="118"/>
    </row>
    <row r="24" spans="2:17" x14ac:dyDescent="0.3">
      <c r="B24" s="106"/>
      <c r="C24" s="7" t="s">
        <v>34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15000</v>
      </c>
      <c r="O24" s="8">
        <v>0</v>
      </c>
      <c r="P24" s="9">
        <f t="shared" si="0"/>
        <v>15000</v>
      </c>
      <c r="Q24" s="118"/>
    </row>
    <row r="25" spans="2:17" ht="15" thickBot="1" x14ac:dyDescent="0.35">
      <c r="B25" s="107"/>
      <c r="C25" s="12" t="s">
        <v>35</v>
      </c>
      <c r="D25" s="13">
        <v>0</v>
      </c>
      <c r="E25" s="13">
        <v>0</v>
      </c>
      <c r="F25" s="13">
        <v>0</v>
      </c>
      <c r="G25" s="13">
        <v>0</v>
      </c>
      <c r="H25" s="13">
        <v>0</v>
      </c>
      <c r="I25" s="13">
        <v>0</v>
      </c>
      <c r="J25" s="13">
        <v>0</v>
      </c>
      <c r="K25" s="13">
        <v>0</v>
      </c>
      <c r="L25" s="13">
        <v>3000</v>
      </c>
      <c r="M25" s="13">
        <v>0</v>
      </c>
      <c r="N25" s="13">
        <v>5000</v>
      </c>
      <c r="O25" s="13">
        <v>3000</v>
      </c>
      <c r="P25" s="14">
        <f t="shared" si="0"/>
        <v>11000</v>
      </c>
      <c r="Q25" s="119"/>
    </row>
    <row r="26" spans="2:17" x14ac:dyDescent="0.3">
      <c r="B26" s="112" t="s">
        <v>37</v>
      </c>
      <c r="C26" s="19" t="s">
        <v>38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0</v>
      </c>
      <c r="L26" s="29">
        <v>0</v>
      </c>
      <c r="M26" s="29">
        <v>0</v>
      </c>
      <c r="N26" s="29">
        <v>0</v>
      </c>
      <c r="O26" s="29">
        <v>0</v>
      </c>
      <c r="P26" s="21">
        <f t="shared" si="0"/>
        <v>0</v>
      </c>
      <c r="Q26" s="120">
        <f>SUM(P26:P27)</f>
        <v>6500</v>
      </c>
    </row>
    <row r="27" spans="2:17" ht="15" thickBot="1" x14ac:dyDescent="0.35">
      <c r="B27" s="114"/>
      <c r="C27" s="30" t="s">
        <v>39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  <c r="O27" s="31">
        <v>6500</v>
      </c>
      <c r="P27" s="28">
        <f t="shared" si="0"/>
        <v>6500</v>
      </c>
      <c r="Q27" s="122"/>
    </row>
    <row r="28" spans="2:17" x14ac:dyDescent="0.3">
      <c r="B28" s="105" t="s">
        <v>40</v>
      </c>
      <c r="C28" s="4" t="s">
        <v>41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>
        <v>0</v>
      </c>
      <c r="L28" s="15">
        <v>0</v>
      </c>
      <c r="M28" s="15">
        <v>0</v>
      </c>
      <c r="N28" s="15">
        <v>0</v>
      </c>
      <c r="O28" s="15">
        <v>1500</v>
      </c>
      <c r="P28" s="6">
        <f t="shared" si="0"/>
        <v>1500</v>
      </c>
      <c r="Q28" s="117">
        <f>SUM(P28:P35)</f>
        <v>4920</v>
      </c>
    </row>
    <row r="29" spans="2:17" x14ac:dyDescent="0.3">
      <c r="B29" s="106"/>
      <c r="C29" s="7" t="s">
        <v>42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1770</v>
      </c>
      <c r="P29" s="9">
        <f t="shared" si="0"/>
        <v>1770</v>
      </c>
      <c r="Q29" s="118"/>
    </row>
    <row r="30" spans="2:17" x14ac:dyDescent="0.3">
      <c r="B30" s="106"/>
      <c r="C30" s="7" t="s">
        <v>67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9">
        <f t="shared" si="0"/>
        <v>0</v>
      </c>
      <c r="Q30" s="118"/>
    </row>
    <row r="31" spans="2:17" x14ac:dyDescent="0.3">
      <c r="B31" s="106"/>
      <c r="C31" s="16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9">
        <f t="shared" si="0"/>
        <v>0</v>
      </c>
      <c r="Q31" s="118"/>
    </row>
    <row r="32" spans="2:17" x14ac:dyDescent="0.3">
      <c r="B32" s="106"/>
      <c r="C32" s="7" t="s">
        <v>66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9">
        <f t="shared" si="0"/>
        <v>0</v>
      </c>
      <c r="Q32" s="118"/>
    </row>
    <row r="33" spans="2:17" x14ac:dyDescent="0.3">
      <c r="B33" s="106"/>
      <c r="C33" s="7" t="s">
        <v>64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9">
        <f t="shared" si="0"/>
        <v>0</v>
      </c>
      <c r="Q33" s="118"/>
    </row>
    <row r="34" spans="2:17" x14ac:dyDescent="0.3">
      <c r="B34" s="106"/>
      <c r="C34" s="7" t="s">
        <v>63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0</v>
      </c>
      <c r="K34" s="11">
        <v>0</v>
      </c>
      <c r="L34" s="11">
        <v>0</v>
      </c>
      <c r="M34" s="11">
        <v>0</v>
      </c>
      <c r="N34" s="11">
        <v>0</v>
      </c>
      <c r="O34" s="11">
        <v>0</v>
      </c>
      <c r="P34" s="9">
        <f t="shared" si="0"/>
        <v>0</v>
      </c>
      <c r="Q34" s="118"/>
    </row>
    <row r="35" spans="2:17" ht="15" thickBot="1" x14ac:dyDescent="0.35">
      <c r="B35" s="107"/>
      <c r="C35" s="12" t="s">
        <v>44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1650</v>
      </c>
      <c r="P35" s="14">
        <f t="shared" si="0"/>
        <v>1650</v>
      </c>
      <c r="Q35" s="119"/>
    </row>
    <row r="36" spans="2:17" x14ac:dyDescent="0.3">
      <c r="B36" s="112" t="s">
        <v>45</v>
      </c>
      <c r="C36" s="19" t="s">
        <v>51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1">
        <f t="shared" si="0"/>
        <v>0</v>
      </c>
      <c r="Q36" s="120">
        <f>SUM(P36:P42)</f>
        <v>12000</v>
      </c>
    </row>
    <row r="37" spans="2:17" x14ac:dyDescent="0.3">
      <c r="B37" s="113"/>
      <c r="C37" s="22" t="s">
        <v>46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4">
        <f t="shared" si="0"/>
        <v>0</v>
      </c>
      <c r="Q37" s="121"/>
    </row>
    <row r="38" spans="2:17" x14ac:dyDescent="0.3">
      <c r="B38" s="113"/>
      <c r="C38" s="22" t="s">
        <v>48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4">
        <f t="shared" si="0"/>
        <v>0</v>
      </c>
      <c r="Q38" s="121"/>
    </row>
    <row r="39" spans="2:17" x14ac:dyDescent="0.3">
      <c r="B39" s="113"/>
      <c r="C39" s="22" t="s">
        <v>49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4">
        <f t="shared" si="0"/>
        <v>0</v>
      </c>
      <c r="Q39" s="121"/>
    </row>
    <row r="40" spans="2:17" x14ac:dyDescent="0.3">
      <c r="B40" s="113"/>
      <c r="C40" s="22" t="s">
        <v>60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2000</v>
      </c>
      <c r="P40" s="24">
        <f t="shared" si="0"/>
        <v>2000</v>
      </c>
      <c r="Q40" s="121"/>
    </row>
    <row r="41" spans="2:17" x14ac:dyDescent="0.3">
      <c r="B41" s="113"/>
      <c r="C41" s="22" t="s">
        <v>50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24">
        <f t="shared" si="0"/>
        <v>0</v>
      </c>
      <c r="Q41" s="121"/>
    </row>
    <row r="42" spans="2:17" ht="15" thickBot="1" x14ac:dyDescent="0.35">
      <c r="B42" s="114"/>
      <c r="C42" s="26" t="s">
        <v>47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5000</v>
      </c>
      <c r="O42" s="31">
        <v>5000</v>
      </c>
      <c r="P42" s="28">
        <f t="shared" si="0"/>
        <v>10000</v>
      </c>
      <c r="Q42" s="122"/>
    </row>
    <row r="43" spans="2:17" x14ac:dyDescent="0.3">
      <c r="B43" s="105" t="s">
        <v>52</v>
      </c>
      <c r="C43" s="4" t="s">
        <v>53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11111</v>
      </c>
      <c r="M43" s="15">
        <v>0</v>
      </c>
      <c r="N43" s="15">
        <v>0</v>
      </c>
      <c r="O43" s="15">
        <v>0</v>
      </c>
      <c r="P43" s="6">
        <f t="shared" si="0"/>
        <v>11111</v>
      </c>
      <c r="Q43" s="117">
        <f>SUM(P43:P46)</f>
        <v>43587</v>
      </c>
    </row>
    <row r="44" spans="2:17" x14ac:dyDescent="0.3">
      <c r="B44" s="106"/>
      <c r="C44" s="7" t="s">
        <v>54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9">
        <f t="shared" si="0"/>
        <v>0</v>
      </c>
      <c r="Q44" s="118"/>
    </row>
    <row r="45" spans="2:17" x14ac:dyDescent="0.3">
      <c r="B45" s="106"/>
      <c r="C45" s="7" t="s">
        <v>55</v>
      </c>
      <c r="D45" s="11">
        <v>0</v>
      </c>
      <c r="E45" s="11">
        <v>0</v>
      </c>
      <c r="F45" s="11">
        <v>0</v>
      </c>
      <c r="G45" s="11">
        <v>0</v>
      </c>
      <c r="H45" s="11">
        <v>0</v>
      </c>
      <c r="I45" s="11">
        <v>0</v>
      </c>
      <c r="J45" s="11">
        <v>0</v>
      </c>
      <c r="K45" s="11">
        <v>0</v>
      </c>
      <c r="L45" s="11">
        <v>30000</v>
      </c>
      <c r="M45" s="11">
        <v>0</v>
      </c>
      <c r="N45" s="11">
        <v>0</v>
      </c>
      <c r="O45" s="11">
        <v>0</v>
      </c>
      <c r="P45" s="9">
        <f t="shared" si="0"/>
        <v>30000</v>
      </c>
      <c r="Q45" s="118"/>
    </row>
    <row r="46" spans="2:17" ht="15" thickBot="1" x14ac:dyDescent="0.35">
      <c r="B46" s="107"/>
      <c r="C46" s="12" t="s">
        <v>68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2476</v>
      </c>
      <c r="P46" s="14">
        <f t="shared" si="0"/>
        <v>2476</v>
      </c>
      <c r="Q46" s="119"/>
    </row>
    <row r="47" spans="2:17" ht="15" thickBot="1" x14ac:dyDescent="0.35">
      <c r="B47" s="33" t="s">
        <v>58</v>
      </c>
      <c r="C47" s="34" t="s">
        <v>59</v>
      </c>
      <c r="D47" s="35">
        <v>0</v>
      </c>
      <c r="E47" s="35">
        <v>0</v>
      </c>
      <c r="F47" s="35">
        <v>0</v>
      </c>
      <c r="G47" s="35">
        <v>0</v>
      </c>
      <c r="H47" s="35">
        <v>0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35400</v>
      </c>
      <c r="O47" s="35">
        <v>65000</v>
      </c>
      <c r="P47" s="36">
        <f t="shared" si="0"/>
        <v>100400</v>
      </c>
      <c r="Q47" s="37">
        <f>SUM(P47:P47)</f>
        <v>100400</v>
      </c>
    </row>
    <row r="48" spans="2:17" ht="18" thickBot="1" x14ac:dyDescent="0.35">
      <c r="B48" s="115" t="s">
        <v>57</v>
      </c>
      <c r="C48" s="116"/>
      <c r="D48" s="17"/>
      <c r="E48" s="17"/>
      <c r="F48" s="17"/>
      <c r="G48" s="17"/>
      <c r="H48" s="17"/>
      <c r="I48" s="17"/>
      <c r="J48" s="17"/>
      <c r="K48" s="17"/>
      <c r="L48" s="17">
        <f>SUM(L3:L47)</f>
        <v>157921</v>
      </c>
      <c r="M48" s="17">
        <f>SUM(M3:M47)</f>
        <v>135210</v>
      </c>
      <c r="N48" s="17">
        <f>SUM(N3:N47)</f>
        <v>198645</v>
      </c>
      <c r="O48" s="17">
        <f>SUM(O3:O47)</f>
        <v>144787</v>
      </c>
      <c r="P48" s="17">
        <f>SUM(P3:P47)</f>
        <v>636563</v>
      </c>
      <c r="Q48" s="38"/>
    </row>
  </sheetData>
  <mergeCells count="15">
    <mergeCell ref="B43:B46"/>
    <mergeCell ref="B48:C48"/>
    <mergeCell ref="Q3:Q15"/>
    <mergeCell ref="Q16:Q20"/>
    <mergeCell ref="Q21:Q25"/>
    <mergeCell ref="Q26:Q27"/>
    <mergeCell ref="Q28:Q35"/>
    <mergeCell ref="Q36:Q42"/>
    <mergeCell ref="Q43:Q46"/>
    <mergeCell ref="B3:B15"/>
    <mergeCell ref="B16:B20"/>
    <mergeCell ref="B21:B25"/>
    <mergeCell ref="B26:B27"/>
    <mergeCell ref="B28:B35"/>
    <mergeCell ref="B36:B4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523138-159E-4EE0-9D35-E88A677FE68D}">
  <dimension ref="B1:Q48"/>
  <sheetViews>
    <sheetView topLeftCell="A23" zoomScale="70" zoomScaleNormal="70" workbookViewId="0">
      <selection activeCell="C19" sqref="C19"/>
    </sheetView>
  </sheetViews>
  <sheetFormatPr defaultRowHeight="14.4" x14ac:dyDescent="0.3"/>
  <cols>
    <col min="2" max="2" width="37" bestFit="1" customWidth="1"/>
    <col min="3" max="3" width="68.88671875" bestFit="1" customWidth="1"/>
    <col min="12" max="12" width="11.21875" bestFit="1" customWidth="1"/>
    <col min="16" max="16" width="16.6640625" bestFit="1" customWidth="1"/>
    <col min="17" max="17" width="46.5546875" customWidth="1"/>
  </cols>
  <sheetData>
    <row r="1" spans="2:17" ht="15" thickBot="1" x14ac:dyDescent="0.35"/>
    <row r="2" spans="2:17" ht="18.600000000000001" thickBot="1" x14ac:dyDescent="0.35">
      <c r="B2" s="1" t="s">
        <v>12</v>
      </c>
      <c r="C2" s="2" t="s">
        <v>56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62</v>
      </c>
      <c r="Q2" s="3" t="s">
        <v>61</v>
      </c>
    </row>
    <row r="3" spans="2:17" x14ac:dyDescent="0.3">
      <c r="B3" s="105" t="s">
        <v>13</v>
      </c>
      <c r="C3" s="4" t="s">
        <v>20</v>
      </c>
      <c r="D3" s="5">
        <v>3432</v>
      </c>
      <c r="E3" s="5">
        <v>1000</v>
      </c>
      <c r="F3" s="5">
        <v>720</v>
      </c>
      <c r="G3" s="5">
        <v>2300</v>
      </c>
      <c r="H3" s="5">
        <v>2800</v>
      </c>
      <c r="I3" s="5">
        <v>2000</v>
      </c>
      <c r="J3" s="5">
        <v>5550</v>
      </c>
      <c r="K3" s="5">
        <v>2000</v>
      </c>
      <c r="L3" s="5">
        <v>6000</v>
      </c>
      <c r="M3" s="5">
        <v>5500</v>
      </c>
      <c r="N3" s="5">
        <v>5335</v>
      </c>
      <c r="O3" s="5">
        <v>3105</v>
      </c>
      <c r="P3" s="6">
        <f>SUM(D3:O3)</f>
        <v>39742</v>
      </c>
      <c r="Q3" s="117">
        <f>SUM(P3:P15)</f>
        <v>399379</v>
      </c>
    </row>
    <row r="4" spans="2:17" x14ac:dyDescent="0.3">
      <c r="B4" s="106"/>
      <c r="C4" s="7" t="s">
        <v>15</v>
      </c>
      <c r="D4" s="8">
        <v>808</v>
      </c>
      <c r="E4" s="8">
        <v>850</v>
      </c>
      <c r="F4" s="8">
        <v>700</v>
      </c>
      <c r="G4" s="8">
        <v>950</v>
      </c>
      <c r="H4" s="8">
        <v>1000</v>
      </c>
      <c r="I4" s="8">
        <v>1210</v>
      </c>
      <c r="J4" s="8">
        <v>1000</v>
      </c>
      <c r="K4" s="8">
        <v>1000</v>
      </c>
      <c r="L4" s="8">
        <v>900</v>
      </c>
      <c r="M4" s="8">
        <v>900</v>
      </c>
      <c r="N4" s="8">
        <v>1040</v>
      </c>
      <c r="O4" s="8">
        <v>910</v>
      </c>
      <c r="P4" s="9">
        <f t="shared" ref="P4:P47" si="0">SUM(D4:O4)</f>
        <v>11268</v>
      </c>
      <c r="Q4" s="118"/>
    </row>
    <row r="5" spans="2:17" x14ac:dyDescent="0.3">
      <c r="B5" s="106"/>
      <c r="C5" s="7" t="s">
        <v>18</v>
      </c>
      <c r="D5" s="10">
        <v>0</v>
      </c>
      <c r="E5" s="10">
        <v>0</v>
      </c>
      <c r="F5" s="10">
        <v>0</v>
      </c>
      <c r="G5" s="10">
        <v>1000</v>
      </c>
      <c r="H5" s="10">
        <v>1500</v>
      </c>
      <c r="I5" s="10">
        <v>0</v>
      </c>
      <c r="J5" s="10">
        <v>0</v>
      </c>
      <c r="K5" s="10">
        <v>0</v>
      </c>
      <c r="L5" s="10">
        <v>0</v>
      </c>
      <c r="M5" s="10">
        <v>2480</v>
      </c>
      <c r="N5" s="10">
        <v>2950</v>
      </c>
      <c r="O5" s="10">
        <v>2450</v>
      </c>
      <c r="P5" s="9">
        <f t="shared" si="0"/>
        <v>10380</v>
      </c>
      <c r="Q5" s="118"/>
    </row>
    <row r="6" spans="2:17" x14ac:dyDescent="0.3">
      <c r="B6" s="106"/>
      <c r="C6" s="7" t="s">
        <v>17</v>
      </c>
      <c r="D6" s="8">
        <v>1056</v>
      </c>
      <c r="E6" s="8">
        <v>1056</v>
      </c>
      <c r="F6" s="8">
        <v>2212</v>
      </c>
      <c r="G6" s="8">
        <v>0</v>
      </c>
      <c r="H6" s="8">
        <v>1106</v>
      </c>
      <c r="I6" s="8">
        <v>0</v>
      </c>
      <c r="J6" s="8">
        <v>1106</v>
      </c>
      <c r="K6" s="8">
        <v>1812</v>
      </c>
      <c r="L6" s="8">
        <v>960</v>
      </c>
      <c r="M6" s="8">
        <v>960</v>
      </c>
      <c r="N6" s="8">
        <v>1812</v>
      </c>
      <c r="O6" s="8">
        <v>1812</v>
      </c>
      <c r="P6" s="9">
        <f t="shared" si="0"/>
        <v>13892</v>
      </c>
      <c r="Q6" s="118"/>
    </row>
    <row r="7" spans="2:17" x14ac:dyDescent="0.3">
      <c r="B7" s="106"/>
      <c r="C7" s="7" t="s">
        <v>19</v>
      </c>
      <c r="D7" s="10">
        <v>6230</v>
      </c>
      <c r="E7" s="10">
        <v>2312</v>
      </c>
      <c r="F7" s="10">
        <v>1124</v>
      </c>
      <c r="G7" s="10">
        <v>0</v>
      </c>
      <c r="H7" s="10">
        <v>1000</v>
      </c>
      <c r="I7" s="10">
        <v>0</v>
      </c>
      <c r="J7" s="10">
        <v>2800</v>
      </c>
      <c r="K7" s="10">
        <v>0</v>
      </c>
      <c r="L7" s="10">
        <v>0</v>
      </c>
      <c r="M7" s="10">
        <v>3701</v>
      </c>
      <c r="N7" s="10">
        <v>3103</v>
      </c>
      <c r="O7" s="10">
        <v>1731</v>
      </c>
      <c r="P7" s="9">
        <f t="shared" si="0"/>
        <v>22001</v>
      </c>
      <c r="Q7" s="118"/>
    </row>
    <row r="8" spans="2:17" x14ac:dyDescent="0.3">
      <c r="B8" s="106"/>
      <c r="C8" s="7" t="s">
        <v>26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9">
        <f t="shared" si="0"/>
        <v>0</v>
      </c>
      <c r="Q8" s="118"/>
    </row>
    <row r="9" spans="2:17" x14ac:dyDescent="0.3">
      <c r="B9" s="106"/>
      <c r="C9" s="7" t="s">
        <v>21</v>
      </c>
      <c r="D9" s="10">
        <v>7200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9">
        <f t="shared" si="0"/>
        <v>7200</v>
      </c>
      <c r="Q9" s="118"/>
    </row>
    <row r="10" spans="2:17" x14ac:dyDescent="0.3">
      <c r="B10" s="106"/>
      <c r="C10" s="7" t="s">
        <v>24</v>
      </c>
      <c r="D10" s="8">
        <v>4715</v>
      </c>
      <c r="E10" s="8">
        <v>10780</v>
      </c>
      <c r="F10" s="8">
        <v>12036</v>
      </c>
      <c r="G10" s="8">
        <v>4715</v>
      </c>
      <c r="H10" s="8">
        <v>4715</v>
      </c>
      <c r="I10" s="8">
        <v>4715</v>
      </c>
      <c r="J10" s="8">
        <v>65259</v>
      </c>
      <c r="K10" s="8">
        <v>4715</v>
      </c>
      <c r="L10" s="8">
        <v>18101</v>
      </c>
      <c r="M10" s="8">
        <v>4915</v>
      </c>
      <c r="N10" s="8">
        <v>4715</v>
      </c>
      <c r="O10" s="8">
        <v>21359</v>
      </c>
      <c r="P10" s="9">
        <f t="shared" si="0"/>
        <v>160740</v>
      </c>
      <c r="Q10" s="118"/>
    </row>
    <row r="11" spans="2:17" x14ac:dyDescent="0.3">
      <c r="B11" s="106"/>
      <c r="C11" s="7" t="s">
        <v>22</v>
      </c>
      <c r="D11" s="10">
        <v>0</v>
      </c>
      <c r="E11" s="10">
        <v>1799</v>
      </c>
      <c r="F11" s="10">
        <v>0</v>
      </c>
      <c r="G11" s="10">
        <v>0</v>
      </c>
      <c r="H11" s="10">
        <v>400</v>
      </c>
      <c r="I11" s="10">
        <v>0</v>
      </c>
      <c r="J11" s="10">
        <v>0</v>
      </c>
      <c r="K11" s="10">
        <v>0</v>
      </c>
      <c r="L11" s="10">
        <v>0</v>
      </c>
      <c r="M11" s="10">
        <v>380</v>
      </c>
      <c r="N11" s="10">
        <v>2399</v>
      </c>
      <c r="O11" s="10">
        <v>940</v>
      </c>
      <c r="P11" s="9">
        <f t="shared" si="0"/>
        <v>5918</v>
      </c>
      <c r="Q11" s="118"/>
    </row>
    <row r="12" spans="2:17" x14ac:dyDescent="0.3">
      <c r="B12" s="106"/>
      <c r="C12" s="7" t="s">
        <v>23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9">
        <f t="shared" si="0"/>
        <v>0</v>
      </c>
      <c r="Q12" s="118"/>
    </row>
    <row r="13" spans="2:17" x14ac:dyDescent="0.3">
      <c r="B13" s="106"/>
      <c r="C13" s="7" t="s">
        <v>14</v>
      </c>
      <c r="D13" s="10">
        <v>7500</v>
      </c>
      <c r="E13" s="10">
        <v>8000</v>
      </c>
      <c r="F13" s="10">
        <v>8000</v>
      </c>
      <c r="G13" s="10">
        <v>8000</v>
      </c>
      <c r="H13" s="10">
        <v>8000</v>
      </c>
      <c r="I13" s="10">
        <v>8000</v>
      </c>
      <c r="J13" s="10">
        <v>8000</v>
      </c>
      <c r="K13" s="10">
        <v>8000</v>
      </c>
      <c r="L13" s="10">
        <v>8000</v>
      </c>
      <c r="M13" s="10">
        <v>8000</v>
      </c>
      <c r="N13" s="10">
        <v>8000</v>
      </c>
      <c r="O13" s="10">
        <v>8000</v>
      </c>
      <c r="P13" s="9">
        <f t="shared" si="0"/>
        <v>95500</v>
      </c>
      <c r="Q13" s="118"/>
    </row>
    <row r="14" spans="2:17" x14ac:dyDescent="0.3">
      <c r="B14" s="106"/>
      <c r="C14" s="7" t="s">
        <v>25</v>
      </c>
      <c r="D14" s="11">
        <v>2670</v>
      </c>
      <c r="E14" s="11">
        <v>2670</v>
      </c>
      <c r="F14" s="11">
        <v>2670</v>
      </c>
      <c r="G14" s="11">
        <v>2670</v>
      </c>
      <c r="H14" s="11">
        <v>2670</v>
      </c>
      <c r="I14" s="11">
        <v>2670</v>
      </c>
      <c r="J14" s="11">
        <v>2670</v>
      </c>
      <c r="K14" s="11">
        <v>2670</v>
      </c>
      <c r="L14" s="11">
        <v>2670</v>
      </c>
      <c r="M14" s="11">
        <v>2670</v>
      </c>
      <c r="N14" s="11">
        <v>2670</v>
      </c>
      <c r="O14" s="11">
        <v>2670</v>
      </c>
      <c r="P14" s="9">
        <f t="shared" si="0"/>
        <v>32040</v>
      </c>
      <c r="Q14" s="118"/>
    </row>
    <row r="15" spans="2:17" ht="15" thickBot="1" x14ac:dyDescent="0.35">
      <c r="B15" s="107"/>
      <c r="C15" s="12" t="s">
        <v>16</v>
      </c>
      <c r="D15" s="13">
        <v>0</v>
      </c>
      <c r="E15" s="13">
        <v>0</v>
      </c>
      <c r="F15" s="13">
        <v>0</v>
      </c>
      <c r="G15" s="13">
        <v>0</v>
      </c>
      <c r="H15" s="13">
        <v>0</v>
      </c>
      <c r="I15" s="13">
        <v>0</v>
      </c>
      <c r="J15" s="13">
        <v>410</v>
      </c>
      <c r="K15" s="13">
        <v>0</v>
      </c>
      <c r="L15" s="13">
        <v>0</v>
      </c>
      <c r="M15" s="13">
        <v>288</v>
      </c>
      <c r="N15" s="13">
        <v>0</v>
      </c>
      <c r="O15" s="13">
        <v>0</v>
      </c>
      <c r="P15" s="14">
        <f t="shared" si="0"/>
        <v>698</v>
      </c>
      <c r="Q15" s="119"/>
    </row>
    <row r="16" spans="2:17" x14ac:dyDescent="0.3">
      <c r="B16" s="110" t="s">
        <v>31</v>
      </c>
      <c r="C16" s="19" t="s">
        <v>30</v>
      </c>
      <c r="D16" s="20">
        <v>8010</v>
      </c>
      <c r="E16" s="20">
        <v>6435</v>
      </c>
      <c r="F16" s="20">
        <v>13800</v>
      </c>
      <c r="G16" s="20">
        <v>13900</v>
      </c>
      <c r="H16" s="20">
        <v>11600</v>
      </c>
      <c r="I16" s="20">
        <v>0</v>
      </c>
      <c r="J16" s="20">
        <v>65000</v>
      </c>
      <c r="K16" s="20">
        <v>31000</v>
      </c>
      <c r="L16" s="20">
        <v>21500</v>
      </c>
      <c r="M16" s="20">
        <v>22135</v>
      </c>
      <c r="N16" s="20">
        <v>13547</v>
      </c>
      <c r="O16" s="20">
        <v>16000</v>
      </c>
      <c r="P16" s="21">
        <f t="shared" si="0"/>
        <v>222927</v>
      </c>
      <c r="Q16" s="120">
        <f>SUM(P16:P20)</f>
        <v>1492695</v>
      </c>
    </row>
    <row r="17" spans="2:17" x14ac:dyDescent="0.3">
      <c r="B17" s="123"/>
      <c r="C17" s="22" t="s">
        <v>29</v>
      </c>
      <c r="D17" s="23">
        <v>0</v>
      </c>
      <c r="E17" s="23">
        <v>80000</v>
      </c>
      <c r="F17" s="23">
        <v>60000</v>
      </c>
      <c r="G17" s="23">
        <v>25000</v>
      </c>
      <c r="H17" s="23">
        <v>0</v>
      </c>
      <c r="I17" s="23">
        <v>0</v>
      </c>
      <c r="J17" s="23">
        <v>216628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f t="shared" si="0"/>
        <v>381628</v>
      </c>
      <c r="Q17" s="121"/>
    </row>
    <row r="18" spans="2:17" x14ac:dyDescent="0.3">
      <c r="B18" s="123"/>
      <c r="C18" s="22" t="s">
        <v>27</v>
      </c>
      <c r="D18" s="25">
        <v>20000</v>
      </c>
      <c r="E18" s="25">
        <v>21000</v>
      </c>
      <c r="F18" s="25">
        <v>21000</v>
      </c>
      <c r="G18" s="25">
        <v>21000</v>
      </c>
      <c r="H18" s="25">
        <v>21000</v>
      </c>
      <c r="I18" s="25">
        <v>21000</v>
      </c>
      <c r="J18" s="25">
        <v>21000</v>
      </c>
      <c r="K18" s="25">
        <v>21000</v>
      </c>
      <c r="L18" s="25">
        <v>21000</v>
      </c>
      <c r="M18" s="25">
        <v>21000</v>
      </c>
      <c r="N18" s="25">
        <v>21000</v>
      </c>
      <c r="O18" s="25">
        <v>21000</v>
      </c>
      <c r="P18" s="24">
        <f t="shared" si="0"/>
        <v>251000</v>
      </c>
      <c r="Q18" s="121"/>
    </row>
    <row r="19" spans="2:17" x14ac:dyDescent="0.3">
      <c r="B19" s="123"/>
      <c r="C19" s="22" t="s">
        <v>70</v>
      </c>
      <c r="D19" s="23">
        <v>32510</v>
      </c>
      <c r="E19" s="23">
        <v>3700</v>
      </c>
      <c r="F19" s="23">
        <v>3075</v>
      </c>
      <c r="G19" s="23">
        <v>4500</v>
      </c>
      <c r="H19" s="23">
        <v>10500</v>
      </c>
      <c r="I19" s="23">
        <v>6500</v>
      </c>
      <c r="J19" s="23">
        <v>9850</v>
      </c>
      <c r="K19" s="23">
        <v>21000</v>
      </c>
      <c r="L19" s="23">
        <v>405000</v>
      </c>
      <c r="M19" s="23">
        <v>1500</v>
      </c>
      <c r="N19" s="23">
        <v>4005</v>
      </c>
      <c r="O19" s="23">
        <v>0</v>
      </c>
      <c r="P19" s="24">
        <f t="shared" si="0"/>
        <v>502140</v>
      </c>
      <c r="Q19" s="121"/>
    </row>
    <row r="20" spans="2:17" ht="15" thickBot="1" x14ac:dyDescent="0.35">
      <c r="B20" s="111"/>
      <c r="C20" s="26" t="s">
        <v>28</v>
      </c>
      <c r="D20" s="27">
        <v>0</v>
      </c>
      <c r="E20" s="27">
        <v>0</v>
      </c>
      <c r="F20" s="27">
        <v>0</v>
      </c>
      <c r="G20" s="27">
        <v>0</v>
      </c>
      <c r="H20" s="27">
        <v>0</v>
      </c>
      <c r="I20" s="27">
        <v>0</v>
      </c>
      <c r="J20" s="27">
        <v>0</v>
      </c>
      <c r="K20" s="27">
        <v>27000</v>
      </c>
      <c r="L20" s="27">
        <v>27000</v>
      </c>
      <c r="M20" s="27">
        <v>27000</v>
      </c>
      <c r="N20" s="27">
        <v>27000</v>
      </c>
      <c r="O20" s="27">
        <v>27000</v>
      </c>
      <c r="P20" s="28">
        <f t="shared" si="0"/>
        <v>135000</v>
      </c>
      <c r="Q20" s="122"/>
    </row>
    <row r="21" spans="2:17" x14ac:dyDescent="0.3">
      <c r="B21" s="105" t="s">
        <v>32</v>
      </c>
      <c r="C21" s="4" t="s">
        <v>69</v>
      </c>
      <c r="D21" s="5">
        <v>0</v>
      </c>
      <c r="E21" s="5">
        <v>0</v>
      </c>
      <c r="F21" s="5">
        <v>0</v>
      </c>
      <c r="G21" s="5">
        <v>0</v>
      </c>
      <c r="H21" s="5">
        <v>3200</v>
      </c>
      <c r="I21" s="5">
        <v>1575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6">
        <f t="shared" si="0"/>
        <v>4775</v>
      </c>
      <c r="Q21" s="117">
        <f>SUM(P21:P25)</f>
        <v>140955</v>
      </c>
    </row>
    <row r="22" spans="2:17" x14ac:dyDescent="0.3">
      <c r="B22" s="106"/>
      <c r="C22" s="7" t="s">
        <v>33</v>
      </c>
      <c r="D22" s="8">
        <v>0</v>
      </c>
      <c r="E22" s="8">
        <v>5000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10000</v>
      </c>
      <c r="M22" s="8">
        <v>0</v>
      </c>
      <c r="N22" s="8">
        <v>0</v>
      </c>
      <c r="O22" s="8">
        <v>0</v>
      </c>
      <c r="P22" s="9">
        <f t="shared" si="0"/>
        <v>15000</v>
      </c>
      <c r="Q22" s="118"/>
    </row>
    <row r="23" spans="2:17" x14ac:dyDescent="0.3">
      <c r="B23" s="106"/>
      <c r="C23" s="7" t="s">
        <v>36</v>
      </c>
      <c r="D23" s="10">
        <v>1000</v>
      </c>
      <c r="E23" s="10">
        <v>3500</v>
      </c>
      <c r="F23" s="10">
        <v>1500</v>
      </c>
      <c r="G23" s="10">
        <v>1000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1080</v>
      </c>
      <c r="N23" s="10">
        <v>1500</v>
      </c>
      <c r="O23" s="10">
        <v>1000</v>
      </c>
      <c r="P23" s="9">
        <f t="shared" si="0"/>
        <v>10580</v>
      </c>
      <c r="Q23" s="118"/>
    </row>
    <row r="24" spans="2:17" x14ac:dyDescent="0.3">
      <c r="B24" s="106"/>
      <c r="C24" s="7" t="s">
        <v>34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30000</v>
      </c>
      <c r="K24" s="8">
        <v>0</v>
      </c>
      <c r="L24" s="8">
        <v>0</v>
      </c>
      <c r="M24" s="8">
        <v>10000</v>
      </c>
      <c r="N24" s="8">
        <v>0</v>
      </c>
      <c r="O24" s="8">
        <v>10000</v>
      </c>
      <c r="P24" s="9">
        <f t="shared" si="0"/>
        <v>50000</v>
      </c>
      <c r="Q24" s="118"/>
    </row>
    <row r="25" spans="2:17" ht="15" thickBot="1" x14ac:dyDescent="0.35">
      <c r="B25" s="107"/>
      <c r="C25" s="12" t="s">
        <v>35</v>
      </c>
      <c r="D25" s="13">
        <v>3000</v>
      </c>
      <c r="E25" s="13">
        <v>3000</v>
      </c>
      <c r="F25" s="13">
        <v>6000</v>
      </c>
      <c r="G25" s="13">
        <v>6000</v>
      </c>
      <c r="H25" s="13">
        <v>3000</v>
      </c>
      <c r="I25" s="13">
        <v>8000</v>
      </c>
      <c r="J25" s="13">
        <v>12000</v>
      </c>
      <c r="K25" s="13">
        <v>0</v>
      </c>
      <c r="L25" s="13">
        <v>0</v>
      </c>
      <c r="M25" s="13">
        <v>11000</v>
      </c>
      <c r="N25" s="13">
        <v>6000</v>
      </c>
      <c r="O25" s="13">
        <v>2600</v>
      </c>
      <c r="P25" s="14">
        <f t="shared" si="0"/>
        <v>60600</v>
      </c>
      <c r="Q25" s="119"/>
    </row>
    <row r="26" spans="2:17" x14ac:dyDescent="0.3">
      <c r="B26" s="112" t="s">
        <v>37</v>
      </c>
      <c r="C26" s="19" t="s">
        <v>38</v>
      </c>
      <c r="D26" s="29">
        <v>0</v>
      </c>
      <c r="E26" s="29">
        <v>0</v>
      </c>
      <c r="F26" s="29">
        <v>0</v>
      </c>
      <c r="G26" s="29">
        <v>0</v>
      </c>
      <c r="H26" s="29">
        <v>0</v>
      </c>
      <c r="I26" s="29">
        <v>0</v>
      </c>
      <c r="J26" s="29">
        <v>0</v>
      </c>
      <c r="K26" s="29">
        <v>12000</v>
      </c>
      <c r="L26" s="29">
        <v>7500</v>
      </c>
      <c r="M26" s="29">
        <v>9000</v>
      </c>
      <c r="N26" s="29">
        <v>960</v>
      </c>
      <c r="O26" s="29">
        <v>0</v>
      </c>
      <c r="P26" s="21">
        <f t="shared" si="0"/>
        <v>29460</v>
      </c>
      <c r="Q26" s="120">
        <f>SUM(P26:P27)</f>
        <v>62740</v>
      </c>
    </row>
    <row r="27" spans="2:17" ht="15" thickBot="1" x14ac:dyDescent="0.35">
      <c r="B27" s="114"/>
      <c r="C27" s="30" t="s">
        <v>39</v>
      </c>
      <c r="D27" s="31">
        <v>0</v>
      </c>
      <c r="E27" s="31">
        <v>0</v>
      </c>
      <c r="F27" s="31">
        <v>0</v>
      </c>
      <c r="G27" s="31">
        <v>0</v>
      </c>
      <c r="H27" s="31">
        <v>6500</v>
      </c>
      <c r="I27" s="31">
        <v>19000</v>
      </c>
      <c r="J27" s="31">
        <v>2450</v>
      </c>
      <c r="K27" s="31">
        <v>0</v>
      </c>
      <c r="L27" s="31">
        <v>850</v>
      </c>
      <c r="M27" s="31">
        <v>3700</v>
      </c>
      <c r="N27" s="31">
        <v>780</v>
      </c>
      <c r="O27" s="31">
        <v>0</v>
      </c>
      <c r="P27" s="28">
        <f t="shared" si="0"/>
        <v>33280</v>
      </c>
      <c r="Q27" s="122"/>
    </row>
    <row r="28" spans="2:17" x14ac:dyDescent="0.3">
      <c r="B28" s="105" t="s">
        <v>40</v>
      </c>
      <c r="C28" s="4" t="s">
        <v>41</v>
      </c>
      <c r="D28" s="15">
        <v>2297</v>
      </c>
      <c r="E28" s="15">
        <v>0</v>
      </c>
      <c r="F28" s="15">
        <v>0</v>
      </c>
      <c r="G28" s="15">
        <v>0</v>
      </c>
      <c r="H28" s="15">
        <v>0</v>
      </c>
      <c r="I28" s="15">
        <v>4100</v>
      </c>
      <c r="J28" s="15">
        <v>2200</v>
      </c>
      <c r="K28" s="15">
        <v>0</v>
      </c>
      <c r="L28" s="15">
        <v>0</v>
      </c>
      <c r="M28" s="15">
        <v>1200</v>
      </c>
      <c r="N28" s="15">
        <v>5610</v>
      </c>
      <c r="O28" s="15">
        <v>1000</v>
      </c>
      <c r="P28" s="6">
        <f t="shared" si="0"/>
        <v>16407</v>
      </c>
      <c r="Q28" s="117">
        <f>SUM(P28:P35)</f>
        <v>47997</v>
      </c>
    </row>
    <row r="29" spans="2:17" x14ac:dyDescent="0.3">
      <c r="B29" s="106"/>
      <c r="C29" s="7" t="s">
        <v>42</v>
      </c>
      <c r="D29" s="8">
        <v>0</v>
      </c>
      <c r="E29" s="8">
        <v>0</v>
      </c>
      <c r="F29" s="8">
        <v>0</v>
      </c>
      <c r="G29" s="8">
        <v>0</v>
      </c>
      <c r="H29" s="8">
        <v>0</v>
      </c>
      <c r="I29" s="8">
        <v>0</v>
      </c>
      <c r="J29" s="8">
        <v>0</v>
      </c>
      <c r="K29" s="8">
        <v>0</v>
      </c>
      <c r="L29" s="8">
        <v>0</v>
      </c>
      <c r="M29" s="8">
        <v>0</v>
      </c>
      <c r="N29" s="8">
        <v>3410</v>
      </c>
      <c r="O29" s="8">
        <v>3250</v>
      </c>
      <c r="P29" s="9">
        <f t="shared" si="0"/>
        <v>6660</v>
      </c>
      <c r="Q29" s="118"/>
    </row>
    <row r="30" spans="2:17" x14ac:dyDescent="0.3">
      <c r="B30" s="106"/>
      <c r="C30" s="16" t="s">
        <v>67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9">
        <f t="shared" si="0"/>
        <v>0</v>
      </c>
      <c r="Q30" s="118"/>
    </row>
    <row r="31" spans="2:17" x14ac:dyDescent="0.3">
      <c r="B31" s="106"/>
      <c r="C31" s="16" t="s">
        <v>43</v>
      </c>
      <c r="D31" s="10">
        <v>200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180</v>
      </c>
      <c r="L31" s="10">
        <v>0</v>
      </c>
      <c r="M31" s="10">
        <v>0</v>
      </c>
      <c r="N31" s="10">
        <v>0</v>
      </c>
      <c r="O31" s="10">
        <v>0</v>
      </c>
      <c r="P31" s="9">
        <f t="shared" si="0"/>
        <v>380</v>
      </c>
      <c r="Q31" s="118"/>
    </row>
    <row r="32" spans="2:17" x14ac:dyDescent="0.3">
      <c r="B32" s="106"/>
      <c r="C32" s="7" t="s">
        <v>66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1300</v>
      </c>
      <c r="P32" s="9">
        <f t="shared" si="0"/>
        <v>1300</v>
      </c>
      <c r="Q32" s="118"/>
    </row>
    <row r="33" spans="2:17" x14ac:dyDescent="0.3">
      <c r="B33" s="106"/>
      <c r="C33" s="7" t="s">
        <v>64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9">
        <f t="shared" si="0"/>
        <v>0</v>
      </c>
      <c r="Q33" s="118"/>
    </row>
    <row r="34" spans="2:17" x14ac:dyDescent="0.3">
      <c r="B34" s="106"/>
      <c r="C34" s="7" t="s">
        <v>63</v>
      </c>
      <c r="D34" s="11">
        <v>0</v>
      </c>
      <c r="E34" s="11">
        <v>0</v>
      </c>
      <c r="F34" s="11">
        <v>0</v>
      </c>
      <c r="G34" s="11">
        <v>0</v>
      </c>
      <c r="H34" s="11">
        <v>0</v>
      </c>
      <c r="I34" s="11">
        <v>0</v>
      </c>
      <c r="J34" s="11">
        <v>1100</v>
      </c>
      <c r="K34" s="11">
        <v>0</v>
      </c>
      <c r="L34" s="11">
        <v>0</v>
      </c>
      <c r="M34" s="11">
        <v>2000</v>
      </c>
      <c r="N34" s="11">
        <v>0</v>
      </c>
      <c r="O34" s="11">
        <v>0</v>
      </c>
      <c r="P34" s="9">
        <f t="shared" si="0"/>
        <v>3100</v>
      </c>
      <c r="Q34" s="118"/>
    </row>
    <row r="35" spans="2:17" ht="15" thickBot="1" x14ac:dyDescent="0.35">
      <c r="B35" s="107"/>
      <c r="C35" s="12" t="s">
        <v>44</v>
      </c>
      <c r="D35" s="13">
        <v>0</v>
      </c>
      <c r="E35" s="13">
        <v>0</v>
      </c>
      <c r="F35" s="13">
        <v>0</v>
      </c>
      <c r="G35" s="13">
        <v>0</v>
      </c>
      <c r="H35" s="13">
        <v>0</v>
      </c>
      <c r="I35" s="13">
        <v>0</v>
      </c>
      <c r="J35" s="13">
        <v>0</v>
      </c>
      <c r="K35" s="13">
        <v>3200</v>
      </c>
      <c r="L35" s="13">
        <v>1500</v>
      </c>
      <c r="M35" s="13">
        <v>6500</v>
      </c>
      <c r="N35" s="13">
        <v>2500</v>
      </c>
      <c r="O35" s="13">
        <v>6450</v>
      </c>
      <c r="P35" s="14">
        <f t="shared" si="0"/>
        <v>20150</v>
      </c>
      <c r="Q35" s="119"/>
    </row>
    <row r="36" spans="2:17" x14ac:dyDescent="0.3">
      <c r="B36" s="112" t="s">
        <v>45</v>
      </c>
      <c r="C36" s="19" t="s">
        <v>51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1">
        <f t="shared" si="0"/>
        <v>0</v>
      </c>
      <c r="Q36" s="120">
        <f>SUM(P36:P42)</f>
        <v>30000</v>
      </c>
    </row>
    <row r="37" spans="2:17" x14ac:dyDescent="0.3">
      <c r="B37" s="113"/>
      <c r="C37" s="22" t="s">
        <v>46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4">
        <f t="shared" si="0"/>
        <v>0</v>
      </c>
      <c r="Q37" s="121"/>
    </row>
    <row r="38" spans="2:17" x14ac:dyDescent="0.3">
      <c r="B38" s="113"/>
      <c r="C38" s="22" t="s">
        <v>48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4">
        <f t="shared" si="0"/>
        <v>0</v>
      </c>
      <c r="Q38" s="121"/>
    </row>
    <row r="39" spans="2:17" x14ac:dyDescent="0.3">
      <c r="B39" s="113"/>
      <c r="C39" s="22" t="s">
        <v>49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4">
        <f t="shared" si="0"/>
        <v>0</v>
      </c>
      <c r="Q39" s="121"/>
    </row>
    <row r="40" spans="2:17" x14ac:dyDescent="0.3">
      <c r="B40" s="113"/>
      <c r="C40" s="22" t="s">
        <v>60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4">
        <f t="shared" si="0"/>
        <v>0</v>
      </c>
      <c r="Q40" s="121"/>
    </row>
    <row r="41" spans="2:17" x14ac:dyDescent="0.3">
      <c r="B41" s="113"/>
      <c r="C41" s="22" t="s">
        <v>50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24">
        <f t="shared" si="0"/>
        <v>0</v>
      </c>
      <c r="Q41" s="121"/>
    </row>
    <row r="42" spans="2:17" ht="15" thickBot="1" x14ac:dyDescent="0.35">
      <c r="B42" s="114"/>
      <c r="C42" s="26" t="s">
        <v>47</v>
      </c>
      <c r="D42" s="31">
        <v>5000</v>
      </c>
      <c r="E42" s="31">
        <v>5000</v>
      </c>
      <c r="F42" s="31">
        <v>5000</v>
      </c>
      <c r="G42" s="31">
        <v>5000</v>
      </c>
      <c r="H42" s="31">
        <v>5000</v>
      </c>
      <c r="I42" s="31">
        <v>5000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28">
        <f t="shared" si="0"/>
        <v>30000</v>
      </c>
      <c r="Q42" s="122"/>
    </row>
    <row r="43" spans="2:17" x14ac:dyDescent="0.3">
      <c r="B43" s="105" t="s">
        <v>52</v>
      </c>
      <c r="C43" s="4" t="s">
        <v>53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5000</v>
      </c>
      <c r="M43" s="15">
        <v>0</v>
      </c>
      <c r="N43" s="15">
        <v>0</v>
      </c>
      <c r="O43" s="15">
        <v>0</v>
      </c>
      <c r="P43" s="6">
        <f t="shared" si="0"/>
        <v>5000</v>
      </c>
      <c r="Q43" s="117">
        <f>SUM(P43:P46)</f>
        <v>23174</v>
      </c>
    </row>
    <row r="44" spans="2:17" x14ac:dyDescent="0.3">
      <c r="B44" s="106"/>
      <c r="C44" s="7" t="s">
        <v>54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4500</v>
      </c>
      <c r="N44" s="10">
        <v>0</v>
      </c>
      <c r="O44" s="10">
        <v>0</v>
      </c>
      <c r="P44" s="9">
        <f t="shared" si="0"/>
        <v>4500</v>
      </c>
      <c r="Q44" s="118"/>
    </row>
    <row r="45" spans="2:17" x14ac:dyDescent="0.3">
      <c r="B45" s="106"/>
      <c r="C45" s="7" t="s">
        <v>55</v>
      </c>
      <c r="D45" s="11">
        <v>0</v>
      </c>
      <c r="E45" s="11">
        <v>0</v>
      </c>
      <c r="F45" s="11">
        <v>1000</v>
      </c>
      <c r="G45" s="11">
        <v>0</v>
      </c>
      <c r="H45" s="11">
        <v>0</v>
      </c>
      <c r="I45" s="11">
        <v>2600</v>
      </c>
      <c r="J45" s="11">
        <v>0</v>
      </c>
      <c r="K45" s="11">
        <v>2730</v>
      </c>
      <c r="L45" s="11">
        <v>0</v>
      </c>
      <c r="M45" s="11">
        <v>2900</v>
      </c>
      <c r="N45" s="11">
        <v>0</v>
      </c>
      <c r="O45" s="11">
        <v>0</v>
      </c>
      <c r="P45" s="9">
        <f t="shared" si="0"/>
        <v>9230</v>
      </c>
      <c r="Q45" s="118"/>
    </row>
    <row r="46" spans="2:17" ht="15" thickBot="1" x14ac:dyDescent="0.35">
      <c r="B46" s="107"/>
      <c r="C46" s="12" t="s">
        <v>68</v>
      </c>
      <c r="D46" s="13">
        <v>0</v>
      </c>
      <c r="E46" s="13">
        <v>850</v>
      </c>
      <c r="F46" s="13">
        <v>1300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880</v>
      </c>
      <c r="O46" s="13">
        <v>1414</v>
      </c>
      <c r="P46" s="14">
        <f t="shared" si="0"/>
        <v>4444</v>
      </c>
      <c r="Q46" s="119"/>
    </row>
    <row r="47" spans="2:17" ht="15" thickBot="1" x14ac:dyDescent="0.35">
      <c r="B47" s="33" t="s">
        <v>58</v>
      </c>
      <c r="C47" s="34" t="s">
        <v>59</v>
      </c>
      <c r="D47" s="35">
        <v>50000</v>
      </c>
      <c r="E47" s="35">
        <v>0</v>
      </c>
      <c r="F47" s="35">
        <v>0</v>
      </c>
      <c r="G47" s="35">
        <v>0</v>
      </c>
      <c r="H47" s="35">
        <v>25000</v>
      </c>
      <c r="I47" s="35">
        <v>0</v>
      </c>
      <c r="J47" s="35">
        <v>25000</v>
      </c>
      <c r="K47" s="35">
        <v>0</v>
      </c>
      <c r="L47" s="35">
        <v>50000</v>
      </c>
      <c r="M47" s="35">
        <v>0</v>
      </c>
      <c r="N47" s="35">
        <v>0</v>
      </c>
      <c r="O47" s="35">
        <v>0</v>
      </c>
      <c r="P47" s="36">
        <f t="shared" si="0"/>
        <v>150000</v>
      </c>
      <c r="Q47" s="37">
        <f>SUM(P47:P47)</f>
        <v>150000</v>
      </c>
    </row>
    <row r="48" spans="2:17" ht="18" thickBot="1" x14ac:dyDescent="0.35">
      <c r="B48" s="115" t="s">
        <v>57</v>
      </c>
      <c r="C48" s="116"/>
      <c r="D48" s="17">
        <f>SUM(D3:D47)</f>
        <v>155628</v>
      </c>
      <c r="E48" s="17">
        <f t="shared" ref="E48:Q48" si="1">SUM(E3:E47)</f>
        <v>156952</v>
      </c>
      <c r="F48" s="17">
        <f t="shared" si="1"/>
        <v>140137</v>
      </c>
      <c r="G48" s="17">
        <f t="shared" si="1"/>
        <v>96035</v>
      </c>
      <c r="H48" s="17">
        <f t="shared" si="1"/>
        <v>108991</v>
      </c>
      <c r="I48" s="17">
        <f t="shared" si="1"/>
        <v>86370</v>
      </c>
      <c r="J48" s="17">
        <f t="shared" si="1"/>
        <v>472023</v>
      </c>
      <c r="K48" s="17">
        <f t="shared" si="1"/>
        <v>138307</v>
      </c>
      <c r="L48" s="17">
        <f t="shared" si="1"/>
        <v>585981</v>
      </c>
      <c r="M48" s="17">
        <f t="shared" si="1"/>
        <v>153309</v>
      </c>
      <c r="N48" s="17">
        <f t="shared" si="1"/>
        <v>119216</v>
      </c>
      <c r="O48" s="17">
        <f t="shared" si="1"/>
        <v>133991</v>
      </c>
      <c r="P48" s="17">
        <f t="shared" si="1"/>
        <v>2346940</v>
      </c>
      <c r="Q48" s="18">
        <f t="shared" si="1"/>
        <v>2346940</v>
      </c>
    </row>
  </sheetData>
  <mergeCells count="15">
    <mergeCell ref="B3:B15"/>
    <mergeCell ref="Q3:Q15"/>
    <mergeCell ref="B16:B20"/>
    <mergeCell ref="Q16:Q20"/>
    <mergeCell ref="B21:B25"/>
    <mergeCell ref="Q21:Q25"/>
    <mergeCell ref="B43:B46"/>
    <mergeCell ref="Q43:Q46"/>
    <mergeCell ref="B48:C48"/>
    <mergeCell ref="B26:B27"/>
    <mergeCell ref="Q26:Q27"/>
    <mergeCell ref="B28:B35"/>
    <mergeCell ref="Q28:Q35"/>
    <mergeCell ref="B36:B42"/>
    <mergeCell ref="Q36:Q4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5753A9-5615-4FC8-A0CD-5EE5B6552EB9}">
  <dimension ref="B1:Q48"/>
  <sheetViews>
    <sheetView topLeftCell="C26" zoomScale="80" zoomScaleNormal="80" workbookViewId="0">
      <selection activeCell="O50" sqref="O50"/>
    </sheetView>
  </sheetViews>
  <sheetFormatPr defaultRowHeight="14.4" x14ac:dyDescent="0.3"/>
  <cols>
    <col min="2" max="2" width="37" bestFit="1" customWidth="1"/>
    <col min="3" max="3" width="65" bestFit="1" customWidth="1"/>
    <col min="12" max="12" width="11.21875" bestFit="1" customWidth="1"/>
    <col min="16" max="16" width="16.6640625" bestFit="1" customWidth="1"/>
    <col min="17" max="17" width="46.5546875" customWidth="1"/>
  </cols>
  <sheetData>
    <row r="1" spans="2:17" ht="15" thickBot="1" x14ac:dyDescent="0.35"/>
    <row r="2" spans="2:17" ht="18.600000000000001" thickBot="1" x14ac:dyDescent="0.35">
      <c r="B2" s="1" t="s">
        <v>12</v>
      </c>
      <c r="C2" s="2" t="s">
        <v>56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62</v>
      </c>
      <c r="Q2" s="3" t="s">
        <v>61</v>
      </c>
    </row>
    <row r="3" spans="2:17" x14ac:dyDescent="0.3">
      <c r="B3" s="105" t="s">
        <v>13</v>
      </c>
      <c r="C3" s="4" t="s">
        <v>20</v>
      </c>
      <c r="D3" s="5">
        <v>3500</v>
      </c>
      <c r="E3" s="5">
        <v>1685</v>
      </c>
      <c r="F3" s="5">
        <v>2424</v>
      </c>
      <c r="G3" s="5">
        <v>12369</v>
      </c>
      <c r="H3" s="5">
        <v>1879</v>
      </c>
      <c r="I3" s="5">
        <v>0</v>
      </c>
      <c r="J3" s="5">
        <v>4400</v>
      </c>
      <c r="K3" s="5">
        <v>2800</v>
      </c>
      <c r="L3" s="5">
        <v>8565</v>
      </c>
      <c r="M3" s="5">
        <v>0</v>
      </c>
      <c r="N3" s="5">
        <v>2121</v>
      </c>
      <c r="O3" s="5">
        <v>0</v>
      </c>
      <c r="P3" s="6">
        <f>SUM(D3:O3)</f>
        <v>39743</v>
      </c>
      <c r="Q3" s="117">
        <f>SUM(P3:P15)</f>
        <v>536796</v>
      </c>
    </row>
    <row r="4" spans="2:17" x14ac:dyDescent="0.3">
      <c r="B4" s="106"/>
      <c r="C4" s="7" t="s">
        <v>15</v>
      </c>
      <c r="D4" s="8">
        <v>990</v>
      </c>
      <c r="E4" s="8">
        <v>930</v>
      </c>
      <c r="F4" s="8">
        <v>1060</v>
      </c>
      <c r="G4" s="8">
        <v>960</v>
      </c>
      <c r="H4" s="8">
        <v>520</v>
      </c>
      <c r="I4" s="8">
        <v>1340</v>
      </c>
      <c r="J4" s="8">
        <v>740</v>
      </c>
      <c r="K4" s="8">
        <v>630</v>
      </c>
      <c r="L4" s="8">
        <v>730</v>
      </c>
      <c r="M4" s="8">
        <v>0</v>
      </c>
      <c r="N4" s="8">
        <v>1600</v>
      </c>
      <c r="O4" s="8">
        <v>650</v>
      </c>
      <c r="P4" s="9">
        <f t="shared" ref="P4:P47" si="0">SUM(D4:O4)</f>
        <v>10150</v>
      </c>
      <c r="Q4" s="118"/>
    </row>
    <row r="5" spans="2:17" x14ac:dyDescent="0.3">
      <c r="B5" s="106"/>
      <c r="C5" s="7" t="s">
        <v>18</v>
      </c>
      <c r="D5" s="10">
        <v>2450</v>
      </c>
      <c r="E5" s="10">
        <v>2450</v>
      </c>
      <c r="F5" s="10">
        <v>2450</v>
      </c>
      <c r="G5" s="10">
        <v>2450</v>
      </c>
      <c r="H5" s="10">
        <v>2450</v>
      </c>
      <c r="I5" s="10">
        <v>2450</v>
      </c>
      <c r="J5" s="10">
        <v>2450</v>
      </c>
      <c r="K5" s="10">
        <v>2850</v>
      </c>
      <c r="L5" s="10">
        <v>2850</v>
      </c>
      <c r="M5" s="10">
        <v>2850</v>
      </c>
      <c r="N5" s="10">
        <v>2850</v>
      </c>
      <c r="O5" s="10">
        <v>2850</v>
      </c>
      <c r="P5" s="9">
        <f t="shared" si="0"/>
        <v>31400</v>
      </c>
      <c r="Q5" s="118"/>
    </row>
    <row r="6" spans="2:17" x14ac:dyDescent="0.3">
      <c r="B6" s="106"/>
      <c r="C6" s="7" t="s">
        <v>17</v>
      </c>
      <c r="D6" s="8">
        <v>1812</v>
      </c>
      <c r="E6" s="8">
        <v>1000</v>
      </c>
      <c r="F6" s="8">
        <v>1612</v>
      </c>
      <c r="G6" s="8">
        <v>806</v>
      </c>
      <c r="H6" s="8">
        <v>806</v>
      </c>
      <c r="I6" s="8">
        <v>806</v>
      </c>
      <c r="J6" s="8">
        <v>1612</v>
      </c>
      <c r="K6" s="8">
        <v>806</v>
      </c>
      <c r="L6" s="8">
        <v>806</v>
      </c>
      <c r="M6" s="8">
        <v>1612</v>
      </c>
      <c r="N6" s="8">
        <v>1612</v>
      </c>
      <c r="O6" s="8">
        <v>806</v>
      </c>
      <c r="P6" s="9">
        <f t="shared" si="0"/>
        <v>14096</v>
      </c>
      <c r="Q6" s="118"/>
    </row>
    <row r="7" spans="2:17" x14ac:dyDescent="0.3">
      <c r="B7" s="106"/>
      <c r="C7" s="7" t="s">
        <v>19</v>
      </c>
      <c r="D7" s="10">
        <v>634</v>
      </c>
      <c r="E7" s="10">
        <v>2009</v>
      </c>
      <c r="F7" s="10">
        <v>1152</v>
      </c>
      <c r="G7" s="10">
        <v>5722</v>
      </c>
      <c r="H7" s="10">
        <v>1910</v>
      </c>
      <c r="I7" s="10">
        <v>2991</v>
      </c>
      <c r="J7" s="10">
        <v>6776</v>
      </c>
      <c r="K7" s="10">
        <v>3975</v>
      </c>
      <c r="L7" s="10">
        <v>1340</v>
      </c>
      <c r="M7" s="10">
        <v>4089</v>
      </c>
      <c r="N7" s="10">
        <v>2018</v>
      </c>
      <c r="O7" s="10">
        <v>1181</v>
      </c>
      <c r="P7" s="9">
        <f t="shared" si="0"/>
        <v>33797</v>
      </c>
      <c r="Q7" s="118"/>
    </row>
    <row r="8" spans="2:17" x14ac:dyDescent="0.3">
      <c r="B8" s="106"/>
      <c r="C8" s="7" t="s">
        <v>26</v>
      </c>
      <c r="D8" s="8">
        <v>0</v>
      </c>
      <c r="E8" s="8">
        <v>1750</v>
      </c>
      <c r="F8" s="8">
        <v>2000</v>
      </c>
      <c r="G8" s="8">
        <v>2000</v>
      </c>
      <c r="H8" s="8">
        <v>2000</v>
      </c>
      <c r="I8" s="8">
        <v>2000</v>
      </c>
      <c r="J8" s="8">
        <v>2000</v>
      </c>
      <c r="K8" s="8">
        <v>2000</v>
      </c>
      <c r="L8" s="8">
        <v>3500</v>
      </c>
      <c r="M8" s="8">
        <v>3500</v>
      </c>
      <c r="N8" s="8">
        <v>5000</v>
      </c>
      <c r="O8" s="8">
        <v>2000</v>
      </c>
      <c r="P8" s="9">
        <f t="shared" si="0"/>
        <v>27750</v>
      </c>
      <c r="Q8" s="118"/>
    </row>
    <row r="9" spans="2:17" x14ac:dyDescent="0.3">
      <c r="B9" s="106"/>
      <c r="C9" s="7" t="s">
        <v>21</v>
      </c>
      <c r="D9" s="10">
        <v>0</v>
      </c>
      <c r="E9" s="10">
        <v>0</v>
      </c>
      <c r="F9" s="10">
        <v>7200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9">
        <f t="shared" si="0"/>
        <v>7200</v>
      </c>
      <c r="Q9" s="118"/>
    </row>
    <row r="10" spans="2:17" x14ac:dyDescent="0.3">
      <c r="B10" s="106"/>
      <c r="C10" s="7" t="s">
        <v>24</v>
      </c>
      <c r="D10" s="8">
        <v>4715</v>
      </c>
      <c r="E10" s="8">
        <v>4715</v>
      </c>
      <c r="F10" s="8">
        <v>17798</v>
      </c>
      <c r="G10" s="8">
        <v>4512</v>
      </c>
      <c r="H10" s="8">
        <v>20959</v>
      </c>
      <c r="I10" s="8">
        <v>48513</v>
      </c>
      <c r="J10" s="8">
        <v>4614</v>
      </c>
      <c r="K10" s="8">
        <v>10679</v>
      </c>
      <c r="L10" s="8">
        <v>11934</v>
      </c>
      <c r="M10" s="8">
        <v>4614</v>
      </c>
      <c r="N10" s="8">
        <v>36965</v>
      </c>
      <c r="O10" s="8">
        <v>4614</v>
      </c>
      <c r="P10" s="9">
        <f t="shared" si="0"/>
        <v>174632</v>
      </c>
      <c r="Q10" s="118"/>
    </row>
    <row r="11" spans="2:17" x14ac:dyDescent="0.3">
      <c r="B11" s="106"/>
      <c r="C11" s="7" t="s">
        <v>22</v>
      </c>
      <c r="D11" s="10">
        <v>716</v>
      </c>
      <c r="E11" s="10">
        <v>1636</v>
      </c>
      <c r="F11" s="10">
        <v>0</v>
      </c>
      <c r="G11" s="10">
        <v>916</v>
      </c>
      <c r="H11" s="10">
        <v>180</v>
      </c>
      <c r="I11" s="10">
        <v>2406</v>
      </c>
      <c r="J11" s="10">
        <v>807</v>
      </c>
      <c r="K11" s="10">
        <v>688</v>
      </c>
      <c r="L11" s="10">
        <v>31641</v>
      </c>
      <c r="M11" s="10">
        <v>379</v>
      </c>
      <c r="N11" s="10">
        <v>3998</v>
      </c>
      <c r="O11" s="10">
        <v>249</v>
      </c>
      <c r="P11" s="9">
        <f t="shared" si="0"/>
        <v>43616</v>
      </c>
      <c r="Q11" s="118"/>
    </row>
    <row r="12" spans="2:17" x14ac:dyDescent="0.3">
      <c r="B12" s="106"/>
      <c r="C12" s="7" t="s">
        <v>23</v>
      </c>
      <c r="D12" s="8">
        <v>0</v>
      </c>
      <c r="E12" s="8">
        <v>0</v>
      </c>
      <c r="F12" s="8">
        <v>0</v>
      </c>
      <c r="G12" s="8">
        <v>0</v>
      </c>
      <c r="H12" s="8">
        <v>13660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7736</v>
      </c>
      <c r="O12" s="8">
        <v>0</v>
      </c>
      <c r="P12" s="9">
        <f t="shared" si="0"/>
        <v>21396</v>
      </c>
      <c r="Q12" s="118"/>
    </row>
    <row r="13" spans="2:17" x14ac:dyDescent="0.3">
      <c r="B13" s="106"/>
      <c r="C13" s="7" t="s">
        <v>14</v>
      </c>
      <c r="D13" s="10">
        <v>8000</v>
      </c>
      <c r="E13" s="10">
        <v>8000</v>
      </c>
      <c r="F13" s="10">
        <v>8000</v>
      </c>
      <c r="G13" s="10">
        <v>8000</v>
      </c>
      <c r="H13" s="10">
        <v>8500</v>
      </c>
      <c r="I13" s="10">
        <v>8500</v>
      </c>
      <c r="J13" s="10">
        <v>8500</v>
      </c>
      <c r="K13" s="10">
        <v>8500</v>
      </c>
      <c r="L13" s="10">
        <v>8500</v>
      </c>
      <c r="M13" s="10">
        <v>8500</v>
      </c>
      <c r="N13" s="10">
        <v>8500</v>
      </c>
      <c r="O13" s="10">
        <v>8500</v>
      </c>
      <c r="P13" s="9">
        <f t="shared" si="0"/>
        <v>100000</v>
      </c>
      <c r="Q13" s="118"/>
    </row>
    <row r="14" spans="2:17" x14ac:dyDescent="0.3">
      <c r="B14" s="106"/>
      <c r="C14" s="7" t="s">
        <v>25</v>
      </c>
      <c r="D14" s="11">
        <v>2670</v>
      </c>
      <c r="E14" s="11">
        <v>2670</v>
      </c>
      <c r="F14" s="11">
        <v>2670</v>
      </c>
      <c r="G14" s="11">
        <v>2670</v>
      </c>
      <c r="H14" s="11">
        <v>2670</v>
      </c>
      <c r="I14" s="11">
        <v>2670</v>
      </c>
      <c r="J14" s="11">
        <v>2670</v>
      </c>
      <c r="K14" s="11">
        <v>2670</v>
      </c>
      <c r="L14" s="11">
        <v>2670</v>
      </c>
      <c r="M14" s="11">
        <v>2670</v>
      </c>
      <c r="N14" s="11">
        <v>2670</v>
      </c>
      <c r="O14" s="11">
        <v>2670</v>
      </c>
      <c r="P14" s="9">
        <f t="shared" si="0"/>
        <v>32040</v>
      </c>
      <c r="Q14" s="118"/>
    </row>
    <row r="15" spans="2:17" ht="15" thickBot="1" x14ac:dyDescent="0.35">
      <c r="B15" s="107"/>
      <c r="C15" s="12" t="s">
        <v>16</v>
      </c>
      <c r="D15" s="13">
        <v>373</v>
      </c>
      <c r="E15" s="13">
        <v>0</v>
      </c>
      <c r="F15" s="13">
        <v>0</v>
      </c>
      <c r="G15" s="13">
        <v>333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270</v>
      </c>
      <c r="N15" s="13">
        <v>0</v>
      </c>
      <c r="O15" s="13">
        <v>0</v>
      </c>
      <c r="P15" s="14">
        <f>SUM(D15:O15)</f>
        <v>976</v>
      </c>
      <c r="Q15" s="119"/>
    </row>
    <row r="16" spans="2:17" x14ac:dyDescent="0.3">
      <c r="B16" s="110" t="s">
        <v>31</v>
      </c>
      <c r="C16" s="19" t="s">
        <v>30</v>
      </c>
      <c r="D16" s="20">
        <v>37566</v>
      </c>
      <c r="E16" s="20">
        <v>700</v>
      </c>
      <c r="F16" s="20">
        <v>45000</v>
      </c>
      <c r="G16" s="20">
        <v>110000</v>
      </c>
      <c r="H16" s="20">
        <v>64608</v>
      </c>
      <c r="I16" s="20">
        <v>37817</v>
      </c>
      <c r="J16" s="20">
        <v>3250</v>
      </c>
      <c r="K16" s="20">
        <v>0</v>
      </c>
      <c r="L16" s="20">
        <v>0</v>
      </c>
      <c r="M16" s="20">
        <v>32756</v>
      </c>
      <c r="N16" s="20">
        <v>147250</v>
      </c>
      <c r="O16" s="20">
        <v>0</v>
      </c>
      <c r="P16" s="21">
        <f t="shared" si="0"/>
        <v>478947</v>
      </c>
      <c r="Q16" s="120">
        <f>SUM(P16:P20)</f>
        <v>1338265</v>
      </c>
    </row>
    <row r="17" spans="2:17" x14ac:dyDescent="0.3">
      <c r="B17" s="123"/>
      <c r="C17" s="22" t="s">
        <v>29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14300</v>
      </c>
      <c r="N17" s="23">
        <v>327089</v>
      </c>
      <c r="O17" s="23">
        <v>0</v>
      </c>
      <c r="P17" s="24">
        <f t="shared" si="0"/>
        <v>341389</v>
      </c>
      <c r="Q17" s="121"/>
    </row>
    <row r="18" spans="2:17" x14ac:dyDescent="0.3">
      <c r="B18" s="123"/>
      <c r="C18" s="22" t="s">
        <v>27</v>
      </c>
      <c r="D18" s="25">
        <v>21000</v>
      </c>
      <c r="E18" s="25">
        <v>21000</v>
      </c>
      <c r="F18" s="25">
        <v>21000</v>
      </c>
      <c r="G18" s="25">
        <v>21000</v>
      </c>
      <c r="H18" s="25">
        <v>21000</v>
      </c>
      <c r="I18" s="25">
        <v>21000</v>
      </c>
      <c r="J18" s="25">
        <v>21000</v>
      </c>
      <c r="K18" s="25">
        <v>21000</v>
      </c>
      <c r="L18" s="25">
        <v>21000</v>
      </c>
      <c r="M18" s="25">
        <v>21000</v>
      </c>
      <c r="N18" s="25">
        <v>19400</v>
      </c>
      <c r="O18" s="25">
        <v>18400</v>
      </c>
      <c r="P18" s="24">
        <f t="shared" si="0"/>
        <v>247800</v>
      </c>
      <c r="Q18" s="121"/>
    </row>
    <row r="19" spans="2:17" x14ac:dyDescent="0.3">
      <c r="B19" s="123"/>
      <c r="C19" s="22" t="s">
        <v>70</v>
      </c>
      <c r="D19" s="23">
        <v>0</v>
      </c>
      <c r="E19" s="23">
        <v>9400</v>
      </c>
      <c r="F19" s="23">
        <v>0</v>
      </c>
      <c r="G19" s="23">
        <v>0</v>
      </c>
      <c r="H19" s="23">
        <v>29079</v>
      </c>
      <c r="I19" s="23">
        <v>0</v>
      </c>
      <c r="J19" s="23">
        <v>0</v>
      </c>
      <c r="K19" s="23">
        <v>1450</v>
      </c>
      <c r="L19" s="23">
        <v>0</v>
      </c>
      <c r="M19" s="23">
        <v>1200</v>
      </c>
      <c r="N19" s="23">
        <v>40000</v>
      </c>
      <c r="O19" s="23">
        <v>0</v>
      </c>
      <c r="P19" s="24">
        <f t="shared" si="0"/>
        <v>81129</v>
      </c>
      <c r="Q19" s="121"/>
    </row>
    <row r="20" spans="2:17" ht="15" thickBot="1" x14ac:dyDescent="0.35">
      <c r="B20" s="111"/>
      <c r="C20" s="26" t="s">
        <v>28</v>
      </c>
      <c r="D20" s="27">
        <v>27000</v>
      </c>
      <c r="E20" s="27">
        <v>27000</v>
      </c>
      <c r="F20" s="27">
        <v>27000</v>
      </c>
      <c r="G20" s="27">
        <v>27000</v>
      </c>
      <c r="H20" s="27">
        <v>27000</v>
      </c>
      <c r="I20" s="27">
        <v>27000</v>
      </c>
      <c r="J20" s="27">
        <v>27000</v>
      </c>
      <c r="K20" s="27">
        <v>0</v>
      </c>
      <c r="L20" s="27">
        <v>0</v>
      </c>
      <c r="M20" s="27">
        <v>0</v>
      </c>
      <c r="N20" s="27">
        <v>0</v>
      </c>
      <c r="O20" s="27">
        <v>0</v>
      </c>
      <c r="P20" s="28">
        <f t="shared" si="0"/>
        <v>189000</v>
      </c>
      <c r="Q20" s="122"/>
    </row>
    <row r="21" spans="2:17" x14ac:dyDescent="0.3">
      <c r="B21" s="105" t="s">
        <v>32</v>
      </c>
      <c r="C21" s="4" t="s">
        <v>69</v>
      </c>
      <c r="D21" s="5">
        <v>0</v>
      </c>
      <c r="E21" s="5">
        <v>0</v>
      </c>
      <c r="F21" s="5">
        <v>0</v>
      </c>
      <c r="G21" s="5">
        <v>0</v>
      </c>
      <c r="H21" s="5">
        <v>3816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739</v>
      </c>
      <c r="O21" s="5">
        <v>0</v>
      </c>
      <c r="P21" s="6">
        <f t="shared" si="0"/>
        <v>4555</v>
      </c>
      <c r="Q21" s="117">
        <f>SUM(P21:P25)</f>
        <v>256130</v>
      </c>
    </row>
    <row r="22" spans="2:17" x14ac:dyDescent="0.3">
      <c r="B22" s="106"/>
      <c r="C22" s="7" t="s">
        <v>33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5500</v>
      </c>
      <c r="J22" s="8">
        <v>0</v>
      </c>
      <c r="K22" s="8">
        <v>0</v>
      </c>
      <c r="L22" s="8">
        <v>0</v>
      </c>
      <c r="M22" s="8">
        <v>80000</v>
      </c>
      <c r="N22" s="8">
        <v>20000</v>
      </c>
      <c r="O22" s="8">
        <v>0</v>
      </c>
      <c r="P22" s="9">
        <f t="shared" si="0"/>
        <v>105500</v>
      </c>
      <c r="Q22" s="118"/>
    </row>
    <row r="23" spans="2:17" x14ac:dyDescent="0.3">
      <c r="B23" s="106"/>
      <c r="C23" s="7" t="s">
        <v>36</v>
      </c>
      <c r="D23" s="10">
        <v>1000</v>
      </c>
      <c r="E23" s="10">
        <v>1000</v>
      </c>
      <c r="F23" s="10">
        <v>1000</v>
      </c>
      <c r="G23" s="10">
        <v>0</v>
      </c>
      <c r="H23" s="10">
        <v>2800</v>
      </c>
      <c r="I23" s="10">
        <v>1000</v>
      </c>
      <c r="J23" s="10">
        <v>1350</v>
      </c>
      <c r="K23" s="10">
        <v>1000</v>
      </c>
      <c r="L23" s="10">
        <v>1000</v>
      </c>
      <c r="M23" s="10">
        <v>1000</v>
      </c>
      <c r="N23" s="10">
        <v>1000</v>
      </c>
      <c r="O23" s="10">
        <v>1000</v>
      </c>
      <c r="P23" s="9">
        <f t="shared" si="0"/>
        <v>13150</v>
      </c>
      <c r="Q23" s="118"/>
    </row>
    <row r="24" spans="2:17" x14ac:dyDescent="0.3">
      <c r="B24" s="106"/>
      <c r="C24" s="7" t="s">
        <v>34</v>
      </c>
      <c r="D24" s="8">
        <v>0</v>
      </c>
      <c r="E24" s="8">
        <v>0</v>
      </c>
      <c r="F24" s="8">
        <v>0</v>
      </c>
      <c r="G24" s="8">
        <v>0</v>
      </c>
      <c r="H24" s="8">
        <v>12000</v>
      </c>
      <c r="I24" s="8">
        <v>0</v>
      </c>
      <c r="J24" s="8">
        <v>0</v>
      </c>
      <c r="K24" s="8">
        <v>12000</v>
      </c>
      <c r="L24" s="8">
        <v>0</v>
      </c>
      <c r="M24" s="8">
        <v>0</v>
      </c>
      <c r="N24" s="8">
        <v>0</v>
      </c>
      <c r="O24" s="8">
        <v>0</v>
      </c>
      <c r="P24" s="9">
        <f t="shared" si="0"/>
        <v>24000</v>
      </c>
      <c r="Q24" s="118"/>
    </row>
    <row r="25" spans="2:17" ht="15" thickBot="1" x14ac:dyDescent="0.35">
      <c r="B25" s="107"/>
      <c r="C25" s="12" t="s">
        <v>35</v>
      </c>
      <c r="D25" s="13">
        <v>11500</v>
      </c>
      <c r="E25" s="13">
        <v>19000</v>
      </c>
      <c r="F25" s="13">
        <v>7000</v>
      </c>
      <c r="G25" s="13">
        <v>7000</v>
      </c>
      <c r="H25" s="13">
        <v>8050</v>
      </c>
      <c r="I25" s="13">
        <v>10980</v>
      </c>
      <c r="J25" s="13">
        <v>8430</v>
      </c>
      <c r="K25" s="13">
        <v>13565</v>
      </c>
      <c r="L25" s="13">
        <v>7500</v>
      </c>
      <c r="M25" s="13">
        <v>5900</v>
      </c>
      <c r="N25" s="13">
        <v>5000</v>
      </c>
      <c r="O25" s="13">
        <v>5000</v>
      </c>
      <c r="P25" s="14">
        <f t="shared" si="0"/>
        <v>108925</v>
      </c>
      <c r="Q25" s="119"/>
    </row>
    <row r="26" spans="2:17" x14ac:dyDescent="0.3">
      <c r="B26" s="112" t="s">
        <v>37</v>
      </c>
      <c r="C26" s="19" t="s">
        <v>38</v>
      </c>
      <c r="D26" s="29">
        <v>0</v>
      </c>
      <c r="E26" s="29">
        <v>0</v>
      </c>
      <c r="F26" s="29">
        <v>8170</v>
      </c>
      <c r="G26" s="29">
        <v>8000</v>
      </c>
      <c r="H26" s="29">
        <v>0</v>
      </c>
      <c r="I26" s="29">
        <v>0</v>
      </c>
      <c r="J26" s="29">
        <v>1500</v>
      </c>
      <c r="K26" s="29">
        <v>19631</v>
      </c>
      <c r="L26" s="29">
        <v>8080</v>
      </c>
      <c r="M26" s="29">
        <v>6600</v>
      </c>
      <c r="N26" s="29">
        <v>0</v>
      </c>
      <c r="O26" s="29">
        <v>0</v>
      </c>
      <c r="P26" s="21">
        <f t="shared" si="0"/>
        <v>51981</v>
      </c>
      <c r="Q26" s="120">
        <f>SUM(P26:P27)</f>
        <v>151778</v>
      </c>
    </row>
    <row r="27" spans="2:17" ht="15" thickBot="1" x14ac:dyDescent="0.35">
      <c r="B27" s="114"/>
      <c r="C27" s="30" t="s">
        <v>39</v>
      </c>
      <c r="D27" s="31">
        <v>0</v>
      </c>
      <c r="E27" s="31">
        <v>25511</v>
      </c>
      <c r="F27" s="31">
        <v>62000</v>
      </c>
      <c r="G27" s="31">
        <v>11546</v>
      </c>
      <c r="H27" s="31">
        <v>0</v>
      </c>
      <c r="I27" s="31">
        <v>0</v>
      </c>
      <c r="J27" s="31">
        <v>0</v>
      </c>
      <c r="K27" s="31">
        <v>300</v>
      </c>
      <c r="L27" s="31">
        <v>0</v>
      </c>
      <c r="M27" s="31">
        <v>440</v>
      </c>
      <c r="N27" s="31">
        <v>0</v>
      </c>
      <c r="O27" s="31">
        <v>0</v>
      </c>
      <c r="P27" s="28">
        <f t="shared" si="0"/>
        <v>99797</v>
      </c>
      <c r="Q27" s="122"/>
    </row>
    <row r="28" spans="2:17" x14ac:dyDescent="0.3">
      <c r="B28" s="105" t="s">
        <v>40</v>
      </c>
      <c r="C28" s="4" t="s">
        <v>41</v>
      </c>
      <c r="D28" s="15">
        <v>0</v>
      </c>
      <c r="E28" s="15">
        <v>0</v>
      </c>
      <c r="F28" s="15">
        <v>0</v>
      </c>
      <c r="G28" s="15">
        <v>12144</v>
      </c>
      <c r="H28" s="15">
        <v>2350</v>
      </c>
      <c r="I28" s="15">
        <v>4468</v>
      </c>
      <c r="J28" s="15">
        <v>4400</v>
      </c>
      <c r="K28" s="15">
        <v>2986</v>
      </c>
      <c r="L28" s="15">
        <v>5723</v>
      </c>
      <c r="M28" s="15">
        <v>6685</v>
      </c>
      <c r="N28" s="15">
        <v>7160</v>
      </c>
      <c r="O28" s="15">
        <v>2450</v>
      </c>
      <c r="P28" s="6">
        <f t="shared" si="0"/>
        <v>48366</v>
      </c>
      <c r="Q28" s="117">
        <f>SUM(P28:P35)</f>
        <v>386163</v>
      </c>
    </row>
    <row r="29" spans="2:17" x14ac:dyDescent="0.3">
      <c r="B29" s="106"/>
      <c r="C29" s="7" t="s">
        <v>42</v>
      </c>
      <c r="D29" s="8">
        <v>0</v>
      </c>
      <c r="E29" s="8">
        <v>0</v>
      </c>
      <c r="F29" s="8">
        <v>0</v>
      </c>
      <c r="G29" s="8">
        <v>4554</v>
      </c>
      <c r="H29" s="8">
        <v>1000</v>
      </c>
      <c r="I29" s="8">
        <v>5670</v>
      </c>
      <c r="J29" s="8">
        <v>650</v>
      </c>
      <c r="K29" s="8">
        <v>6070</v>
      </c>
      <c r="L29" s="8">
        <v>15289</v>
      </c>
      <c r="M29" s="8">
        <v>38241</v>
      </c>
      <c r="N29" s="8">
        <v>570</v>
      </c>
      <c r="O29" s="8">
        <v>16272</v>
      </c>
      <c r="P29" s="9">
        <f t="shared" si="0"/>
        <v>88316</v>
      </c>
      <c r="Q29" s="118"/>
    </row>
    <row r="30" spans="2:17" x14ac:dyDescent="0.3">
      <c r="B30" s="106"/>
      <c r="C30" s="16" t="s">
        <v>67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9">
        <f t="shared" si="0"/>
        <v>0</v>
      </c>
      <c r="Q30" s="118"/>
    </row>
    <row r="31" spans="2:17" x14ac:dyDescent="0.3">
      <c r="B31" s="106"/>
      <c r="C31" s="16" t="s">
        <v>43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400</v>
      </c>
      <c r="P31" s="9">
        <f t="shared" si="0"/>
        <v>400</v>
      </c>
      <c r="Q31" s="118"/>
    </row>
    <row r="32" spans="2:17" x14ac:dyDescent="0.3">
      <c r="B32" s="106"/>
      <c r="C32" s="7" t="s">
        <v>66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3171</v>
      </c>
      <c r="L32" s="10">
        <v>3171</v>
      </c>
      <c r="M32" s="10">
        <v>199</v>
      </c>
      <c r="N32" s="10">
        <v>0</v>
      </c>
      <c r="O32" s="10">
        <v>0</v>
      </c>
      <c r="P32" s="9">
        <f t="shared" si="0"/>
        <v>6541</v>
      </c>
      <c r="Q32" s="118"/>
    </row>
    <row r="33" spans="2:17" x14ac:dyDescent="0.3">
      <c r="B33" s="106"/>
      <c r="C33" s="7" t="s">
        <v>64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9">
        <f t="shared" si="0"/>
        <v>0</v>
      </c>
      <c r="Q33" s="118"/>
    </row>
    <row r="34" spans="2:17" x14ac:dyDescent="0.3">
      <c r="B34" s="106"/>
      <c r="C34" s="7" t="s">
        <v>63</v>
      </c>
      <c r="D34" s="11">
        <v>0</v>
      </c>
      <c r="E34" s="11">
        <v>0</v>
      </c>
      <c r="F34" s="11">
        <v>0</v>
      </c>
      <c r="G34" s="11">
        <v>1610</v>
      </c>
      <c r="H34" s="11">
        <v>0</v>
      </c>
      <c r="I34" s="11">
        <v>1250</v>
      </c>
      <c r="J34" s="11">
        <v>1300</v>
      </c>
      <c r="K34" s="11">
        <v>20881</v>
      </c>
      <c r="L34" s="11">
        <v>4200</v>
      </c>
      <c r="M34" s="11">
        <v>660</v>
      </c>
      <c r="N34" s="11">
        <v>600</v>
      </c>
      <c r="O34" s="11">
        <v>0</v>
      </c>
      <c r="P34" s="9">
        <f t="shared" si="0"/>
        <v>30501</v>
      </c>
      <c r="Q34" s="118"/>
    </row>
    <row r="35" spans="2:17" ht="15" thickBot="1" x14ac:dyDescent="0.35">
      <c r="B35" s="107"/>
      <c r="C35" s="12" t="s">
        <v>44</v>
      </c>
      <c r="D35" s="13">
        <v>0</v>
      </c>
      <c r="E35" s="13">
        <v>2118</v>
      </c>
      <c r="F35" s="13">
        <v>1660</v>
      </c>
      <c r="G35" s="13">
        <v>43781</v>
      </c>
      <c r="H35" s="13">
        <v>0</v>
      </c>
      <c r="I35" s="13">
        <v>5225</v>
      </c>
      <c r="J35" s="13">
        <v>5450</v>
      </c>
      <c r="K35" s="13">
        <v>4190</v>
      </c>
      <c r="L35" s="13">
        <v>7525</v>
      </c>
      <c r="M35" s="13">
        <v>8870</v>
      </c>
      <c r="N35" s="13">
        <v>35770</v>
      </c>
      <c r="O35" s="13">
        <v>97450</v>
      </c>
      <c r="P35" s="14">
        <f t="shared" si="0"/>
        <v>212039</v>
      </c>
      <c r="Q35" s="119"/>
    </row>
    <row r="36" spans="2:17" x14ac:dyDescent="0.3">
      <c r="B36" s="112" t="s">
        <v>45</v>
      </c>
      <c r="C36" s="19" t="s">
        <v>51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5000</v>
      </c>
      <c r="P36" s="21">
        <f t="shared" si="0"/>
        <v>5000</v>
      </c>
      <c r="Q36" s="120">
        <f>SUM(P36:P42)</f>
        <v>5000</v>
      </c>
    </row>
    <row r="37" spans="2:17" x14ac:dyDescent="0.3">
      <c r="B37" s="113"/>
      <c r="C37" s="22" t="s">
        <v>46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0</v>
      </c>
      <c r="O37" s="23">
        <v>0</v>
      </c>
      <c r="P37" s="24">
        <f t="shared" si="0"/>
        <v>0</v>
      </c>
      <c r="Q37" s="121"/>
    </row>
    <row r="38" spans="2:17" x14ac:dyDescent="0.3">
      <c r="B38" s="113"/>
      <c r="C38" s="22" t="s">
        <v>48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4">
        <f t="shared" si="0"/>
        <v>0</v>
      </c>
      <c r="Q38" s="121"/>
    </row>
    <row r="39" spans="2:17" x14ac:dyDescent="0.3">
      <c r="B39" s="113"/>
      <c r="C39" s="22" t="s">
        <v>49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4">
        <f t="shared" si="0"/>
        <v>0</v>
      </c>
      <c r="Q39" s="121"/>
    </row>
    <row r="40" spans="2:17" x14ac:dyDescent="0.3">
      <c r="B40" s="113"/>
      <c r="C40" s="22" t="s">
        <v>60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4">
        <f t="shared" si="0"/>
        <v>0</v>
      </c>
      <c r="Q40" s="121"/>
    </row>
    <row r="41" spans="2:17" x14ac:dyDescent="0.3">
      <c r="B41" s="113"/>
      <c r="C41" s="22" t="s">
        <v>50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24">
        <f t="shared" si="0"/>
        <v>0</v>
      </c>
      <c r="Q41" s="121"/>
    </row>
    <row r="42" spans="2:17" ht="15" thickBot="1" x14ac:dyDescent="0.35">
      <c r="B42" s="114"/>
      <c r="C42" s="26" t="s">
        <v>47</v>
      </c>
      <c r="D42" s="31">
        <v>0</v>
      </c>
      <c r="E42" s="31">
        <v>0</v>
      </c>
      <c r="F42" s="31">
        <v>0</v>
      </c>
      <c r="G42" s="31">
        <v>0</v>
      </c>
      <c r="H42" s="31">
        <v>0</v>
      </c>
      <c r="I42" s="31">
        <v>0</v>
      </c>
      <c r="J42" s="31">
        <v>0</v>
      </c>
      <c r="K42" s="31">
        <v>0</v>
      </c>
      <c r="L42" s="31">
        <v>0</v>
      </c>
      <c r="M42" s="31">
        <v>0</v>
      </c>
      <c r="N42" s="31">
        <v>0</v>
      </c>
      <c r="O42" s="31">
        <v>0</v>
      </c>
      <c r="P42" s="28">
        <f t="shared" si="0"/>
        <v>0</v>
      </c>
      <c r="Q42" s="122"/>
    </row>
    <row r="43" spans="2:17" x14ac:dyDescent="0.3">
      <c r="B43" s="105" t="s">
        <v>52</v>
      </c>
      <c r="C43" s="4" t="s">
        <v>53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>
        <v>0</v>
      </c>
      <c r="L43" s="15">
        <v>0</v>
      </c>
      <c r="M43" s="15">
        <v>0</v>
      </c>
      <c r="N43" s="15">
        <v>0</v>
      </c>
      <c r="O43" s="15">
        <v>0</v>
      </c>
      <c r="P43" s="6">
        <f t="shared" si="0"/>
        <v>0</v>
      </c>
      <c r="Q43" s="117">
        <f>SUM(P43:P46)</f>
        <v>37817</v>
      </c>
    </row>
    <row r="44" spans="2:17" x14ac:dyDescent="0.3">
      <c r="B44" s="106"/>
      <c r="C44" s="7" t="s">
        <v>54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1200</v>
      </c>
      <c r="K44" s="10">
        <v>505</v>
      </c>
      <c r="L44" s="10">
        <v>0</v>
      </c>
      <c r="M44" s="10">
        <v>0</v>
      </c>
      <c r="N44" s="10">
        <v>0</v>
      </c>
      <c r="O44" s="10">
        <v>600</v>
      </c>
      <c r="P44" s="9">
        <f t="shared" si="0"/>
        <v>2305</v>
      </c>
      <c r="Q44" s="118"/>
    </row>
    <row r="45" spans="2:17" x14ac:dyDescent="0.3">
      <c r="B45" s="106"/>
      <c r="C45" s="7" t="s">
        <v>55</v>
      </c>
      <c r="D45" s="11">
        <v>0</v>
      </c>
      <c r="E45" s="11">
        <v>0</v>
      </c>
      <c r="F45" s="11">
        <v>0</v>
      </c>
      <c r="G45" s="11">
        <v>5485</v>
      </c>
      <c r="H45" s="11">
        <v>2861</v>
      </c>
      <c r="I45" s="11">
        <v>12740</v>
      </c>
      <c r="J45" s="11">
        <v>0</v>
      </c>
      <c r="K45" s="11">
        <v>2436</v>
      </c>
      <c r="L45" s="11">
        <v>0</v>
      </c>
      <c r="M45" s="11">
        <v>4600</v>
      </c>
      <c r="N45" s="11">
        <v>0</v>
      </c>
      <c r="O45" s="11">
        <v>0</v>
      </c>
      <c r="P45" s="9">
        <f t="shared" si="0"/>
        <v>28122</v>
      </c>
      <c r="Q45" s="118"/>
    </row>
    <row r="46" spans="2:17" ht="15" thickBot="1" x14ac:dyDescent="0.35">
      <c r="B46" s="107"/>
      <c r="C46" s="12" t="s">
        <v>68</v>
      </c>
      <c r="D46" s="13">
        <v>0</v>
      </c>
      <c r="E46" s="13">
        <v>890</v>
      </c>
      <c r="F46" s="13">
        <v>0</v>
      </c>
      <c r="G46" s="13">
        <v>690</v>
      </c>
      <c r="H46" s="13">
        <v>0</v>
      </c>
      <c r="I46" s="13">
        <v>1980</v>
      </c>
      <c r="J46" s="13">
        <v>1930</v>
      </c>
      <c r="K46" s="13">
        <v>0</v>
      </c>
      <c r="L46" s="13">
        <v>0</v>
      </c>
      <c r="M46" s="13">
        <v>1900</v>
      </c>
      <c r="N46" s="13">
        <v>0</v>
      </c>
      <c r="O46" s="13">
        <v>0</v>
      </c>
      <c r="P46" s="14">
        <f t="shared" si="0"/>
        <v>7390</v>
      </c>
      <c r="Q46" s="119"/>
    </row>
    <row r="47" spans="2:17" ht="15" thickBot="1" x14ac:dyDescent="0.35">
      <c r="B47" s="33" t="s">
        <v>58</v>
      </c>
      <c r="C47" s="34" t="s">
        <v>59</v>
      </c>
      <c r="D47" s="35">
        <v>0</v>
      </c>
      <c r="E47" s="35">
        <v>0</v>
      </c>
      <c r="F47" s="35">
        <v>0</v>
      </c>
      <c r="G47" s="35">
        <v>0</v>
      </c>
      <c r="H47" s="35">
        <v>75533</v>
      </c>
      <c r="I47" s="35">
        <v>0</v>
      </c>
      <c r="J47" s="35">
        <v>0</v>
      </c>
      <c r="K47" s="35">
        <v>0</v>
      </c>
      <c r="L47" s="35">
        <v>0</v>
      </c>
      <c r="M47" s="35">
        <v>0</v>
      </c>
      <c r="N47" s="35">
        <v>92255</v>
      </c>
      <c r="O47" s="35">
        <v>0</v>
      </c>
      <c r="P47" s="36">
        <f t="shared" si="0"/>
        <v>167788</v>
      </c>
      <c r="Q47" s="37">
        <f>SUM(P47:P47)</f>
        <v>167788</v>
      </c>
    </row>
    <row r="48" spans="2:17" ht="18" thickBot="1" x14ac:dyDescent="0.35">
      <c r="B48" s="115" t="s">
        <v>57</v>
      </c>
      <c r="C48" s="116"/>
      <c r="D48" s="17">
        <f>SUM(D3:D47)</f>
        <v>123926</v>
      </c>
      <c r="E48" s="17">
        <f t="shared" ref="E48:Q48" si="1">SUM(E3:E47)</f>
        <v>133464</v>
      </c>
      <c r="F48" s="17">
        <f t="shared" si="1"/>
        <v>219196</v>
      </c>
      <c r="G48" s="17">
        <f t="shared" si="1"/>
        <v>293548</v>
      </c>
      <c r="H48" s="17">
        <f t="shared" si="1"/>
        <v>305631</v>
      </c>
      <c r="I48" s="17">
        <f t="shared" si="1"/>
        <v>206306</v>
      </c>
      <c r="J48" s="17">
        <f t="shared" si="1"/>
        <v>112029</v>
      </c>
      <c r="K48" s="17">
        <f t="shared" si="1"/>
        <v>144783</v>
      </c>
      <c r="L48" s="17">
        <f t="shared" si="1"/>
        <v>146024</v>
      </c>
      <c r="M48" s="17">
        <f t="shared" si="1"/>
        <v>252835</v>
      </c>
      <c r="N48" s="17">
        <f t="shared" si="1"/>
        <v>771903</v>
      </c>
      <c r="O48" s="17">
        <f t="shared" si="1"/>
        <v>170092</v>
      </c>
      <c r="P48" s="17">
        <f t="shared" si="1"/>
        <v>2879737</v>
      </c>
      <c r="Q48" s="18">
        <f t="shared" si="1"/>
        <v>2879737</v>
      </c>
    </row>
  </sheetData>
  <mergeCells count="15">
    <mergeCell ref="B3:B15"/>
    <mergeCell ref="Q3:Q15"/>
    <mergeCell ref="B16:B20"/>
    <mergeCell ref="Q16:Q20"/>
    <mergeCell ref="B21:B25"/>
    <mergeCell ref="Q21:Q25"/>
    <mergeCell ref="B43:B46"/>
    <mergeCell ref="Q43:Q46"/>
    <mergeCell ref="B48:C48"/>
    <mergeCell ref="B26:B27"/>
    <mergeCell ref="Q26:Q27"/>
    <mergeCell ref="B28:B35"/>
    <mergeCell ref="Q28:Q35"/>
    <mergeCell ref="B36:B42"/>
    <mergeCell ref="Q36:Q4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CAEF5-6969-4F6E-A459-6E61D29BD723}">
  <dimension ref="B1:Q48"/>
  <sheetViews>
    <sheetView topLeftCell="D1" zoomScale="92" zoomScaleNormal="92" workbookViewId="0">
      <selection activeCell="Q3" sqref="Q3:Q15"/>
    </sheetView>
  </sheetViews>
  <sheetFormatPr defaultRowHeight="14.4" x14ac:dyDescent="0.3"/>
  <cols>
    <col min="2" max="2" width="37" bestFit="1" customWidth="1"/>
    <col min="3" max="3" width="65" bestFit="1" customWidth="1"/>
    <col min="12" max="12" width="11.21875" bestFit="1" customWidth="1"/>
    <col min="16" max="16" width="16.6640625" bestFit="1" customWidth="1"/>
    <col min="17" max="17" width="46.5546875" customWidth="1"/>
  </cols>
  <sheetData>
    <row r="1" spans="2:17" ht="15" thickBot="1" x14ac:dyDescent="0.35"/>
    <row r="2" spans="2:17" ht="18.600000000000001" thickBot="1" x14ac:dyDescent="0.35">
      <c r="B2" s="1" t="s">
        <v>12</v>
      </c>
      <c r="C2" s="2" t="s">
        <v>56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2" t="s">
        <v>6</v>
      </c>
      <c r="K2" s="2" t="s">
        <v>7</v>
      </c>
      <c r="L2" s="2" t="s">
        <v>8</v>
      </c>
      <c r="M2" s="2" t="s">
        <v>9</v>
      </c>
      <c r="N2" s="2" t="s">
        <v>10</v>
      </c>
      <c r="O2" s="2" t="s">
        <v>11</v>
      </c>
      <c r="P2" s="2" t="s">
        <v>62</v>
      </c>
      <c r="Q2" s="3" t="s">
        <v>61</v>
      </c>
    </row>
    <row r="3" spans="2:17" x14ac:dyDescent="0.3">
      <c r="B3" s="105" t="s">
        <v>13</v>
      </c>
      <c r="C3" s="4" t="s">
        <v>20</v>
      </c>
      <c r="D3" s="5">
        <v>11386</v>
      </c>
      <c r="E3" s="5">
        <v>4800</v>
      </c>
      <c r="F3" s="5">
        <v>2128</v>
      </c>
      <c r="G3" s="5">
        <v>4965</v>
      </c>
      <c r="H3" s="5">
        <v>5847</v>
      </c>
      <c r="I3" s="5">
        <v>8676</v>
      </c>
      <c r="J3" s="5">
        <v>4656</v>
      </c>
      <c r="K3" s="5">
        <v>11600</v>
      </c>
      <c r="L3" s="5">
        <v>7000</v>
      </c>
      <c r="M3" s="5">
        <v>3467</v>
      </c>
      <c r="N3" s="5">
        <v>2100</v>
      </c>
      <c r="O3" s="5">
        <v>4000</v>
      </c>
      <c r="P3" s="6">
        <f>SUM(D3:O3)</f>
        <v>70625</v>
      </c>
      <c r="Q3" s="117">
        <f>SUM(P3:P15)</f>
        <v>593330</v>
      </c>
    </row>
    <row r="4" spans="2:17" x14ac:dyDescent="0.3">
      <c r="B4" s="106"/>
      <c r="C4" s="7" t="s">
        <v>15</v>
      </c>
      <c r="D4" s="8">
        <v>1210</v>
      </c>
      <c r="E4" s="8">
        <v>580</v>
      </c>
      <c r="F4" s="8">
        <v>590</v>
      </c>
      <c r="G4" s="8">
        <v>740</v>
      </c>
      <c r="H4" s="8">
        <v>0</v>
      </c>
      <c r="I4" s="8">
        <v>1480</v>
      </c>
      <c r="J4" s="8">
        <v>690</v>
      </c>
      <c r="K4" s="8">
        <v>690</v>
      </c>
      <c r="L4" s="8">
        <v>660</v>
      </c>
      <c r="M4" s="8">
        <v>730</v>
      </c>
      <c r="N4" s="8">
        <v>800</v>
      </c>
      <c r="O4" s="8">
        <v>640</v>
      </c>
      <c r="P4" s="9">
        <f t="shared" ref="P4:P47" si="0">SUM(D4:O4)</f>
        <v>8810</v>
      </c>
      <c r="Q4" s="118"/>
    </row>
    <row r="5" spans="2:17" x14ac:dyDescent="0.3">
      <c r="B5" s="106"/>
      <c r="C5" s="7" t="s">
        <v>18</v>
      </c>
      <c r="D5" s="10">
        <v>2850</v>
      </c>
      <c r="E5" s="10">
        <v>2850</v>
      </c>
      <c r="F5" s="10">
        <v>2850</v>
      </c>
      <c r="G5" s="10">
        <v>2850</v>
      </c>
      <c r="H5" s="10">
        <v>2850</v>
      </c>
      <c r="I5" s="10">
        <v>2850</v>
      </c>
      <c r="J5" s="10">
        <v>2850</v>
      </c>
      <c r="K5" s="10">
        <v>2850</v>
      </c>
      <c r="L5" s="10">
        <v>2850</v>
      </c>
      <c r="M5" s="10">
        <v>3070</v>
      </c>
      <c r="N5" s="10">
        <v>2850</v>
      </c>
      <c r="O5" s="10">
        <v>2850</v>
      </c>
      <c r="P5" s="9">
        <f t="shared" si="0"/>
        <v>34420</v>
      </c>
      <c r="Q5" s="118"/>
    </row>
    <row r="6" spans="2:17" x14ac:dyDescent="0.3">
      <c r="B6" s="106"/>
      <c r="C6" s="7" t="s">
        <v>17</v>
      </c>
      <c r="D6" s="8">
        <v>1612</v>
      </c>
      <c r="E6" s="8">
        <v>1160</v>
      </c>
      <c r="F6" s="8">
        <v>806</v>
      </c>
      <c r="G6" s="8">
        <v>806</v>
      </c>
      <c r="H6" s="8">
        <v>856</v>
      </c>
      <c r="I6" s="8">
        <v>1712</v>
      </c>
      <c r="J6" s="8">
        <v>856</v>
      </c>
      <c r="K6" s="8">
        <v>856</v>
      </c>
      <c r="L6" s="8">
        <v>856</v>
      </c>
      <c r="M6" s="8">
        <v>0</v>
      </c>
      <c r="N6" s="8">
        <v>856</v>
      </c>
      <c r="O6" s="8">
        <v>856</v>
      </c>
      <c r="P6" s="9">
        <f t="shared" si="0"/>
        <v>11232</v>
      </c>
      <c r="Q6" s="118"/>
    </row>
    <row r="7" spans="2:17" x14ac:dyDescent="0.3">
      <c r="B7" s="106"/>
      <c r="C7" s="7" t="s">
        <v>19</v>
      </c>
      <c r="D7" s="10">
        <v>5958</v>
      </c>
      <c r="E7" s="10">
        <v>2436</v>
      </c>
      <c r="F7" s="10">
        <v>1905</v>
      </c>
      <c r="G7" s="10">
        <v>19465</v>
      </c>
      <c r="H7" s="10">
        <v>5750</v>
      </c>
      <c r="I7" s="10">
        <v>3037</v>
      </c>
      <c r="J7" s="10">
        <v>3755</v>
      </c>
      <c r="K7" s="10">
        <v>1190</v>
      </c>
      <c r="L7" s="10">
        <v>1400</v>
      </c>
      <c r="M7" s="10">
        <v>7087</v>
      </c>
      <c r="N7" s="10">
        <v>2600</v>
      </c>
      <c r="O7" s="10">
        <v>954</v>
      </c>
      <c r="P7" s="9">
        <f t="shared" si="0"/>
        <v>55537</v>
      </c>
      <c r="Q7" s="118"/>
    </row>
    <row r="8" spans="2:17" x14ac:dyDescent="0.3">
      <c r="B8" s="106"/>
      <c r="C8" s="7" t="s">
        <v>26</v>
      </c>
      <c r="D8" s="8">
        <v>2000</v>
      </c>
      <c r="E8" s="8">
        <v>4700</v>
      </c>
      <c r="F8" s="8">
        <v>2600</v>
      </c>
      <c r="G8" s="8">
        <v>1400</v>
      </c>
      <c r="H8" s="8">
        <v>4700</v>
      </c>
      <c r="I8" s="8">
        <v>5400</v>
      </c>
      <c r="J8" s="8">
        <v>6100</v>
      </c>
      <c r="K8" s="8">
        <v>6000</v>
      </c>
      <c r="L8" s="8">
        <v>6000</v>
      </c>
      <c r="M8" s="8">
        <v>6000</v>
      </c>
      <c r="N8" s="8">
        <v>3500</v>
      </c>
      <c r="O8" s="8">
        <v>5000</v>
      </c>
      <c r="P8" s="9">
        <f t="shared" si="0"/>
        <v>53400</v>
      </c>
      <c r="Q8" s="118"/>
    </row>
    <row r="9" spans="2:17" x14ac:dyDescent="0.3">
      <c r="B9" s="106"/>
      <c r="C9" s="7" t="s">
        <v>21</v>
      </c>
      <c r="D9" s="10">
        <v>0</v>
      </c>
      <c r="E9" s="10">
        <v>0</v>
      </c>
      <c r="F9" s="10">
        <v>0</v>
      </c>
      <c r="G9" s="10">
        <v>3000</v>
      </c>
      <c r="H9" s="10">
        <v>0</v>
      </c>
      <c r="I9" s="10">
        <v>0</v>
      </c>
      <c r="J9" s="10">
        <v>0</v>
      </c>
      <c r="K9" s="10">
        <v>4200</v>
      </c>
      <c r="L9" s="10">
        <v>0</v>
      </c>
      <c r="M9" s="10">
        <v>0</v>
      </c>
      <c r="N9" s="10">
        <v>0</v>
      </c>
      <c r="O9" s="10">
        <v>0</v>
      </c>
      <c r="P9" s="9">
        <f t="shared" si="0"/>
        <v>7200</v>
      </c>
      <c r="Q9" s="118"/>
    </row>
    <row r="10" spans="2:17" x14ac:dyDescent="0.3">
      <c r="B10" s="106"/>
      <c r="C10" s="7" t="s">
        <v>24</v>
      </c>
      <c r="D10" s="8">
        <v>4614</v>
      </c>
      <c r="E10" s="8">
        <v>4614</v>
      </c>
      <c r="F10" s="8">
        <v>37305</v>
      </c>
      <c r="G10" s="8">
        <v>0</v>
      </c>
      <c r="H10" s="8">
        <v>11832</v>
      </c>
      <c r="I10" s="8">
        <v>4512</v>
      </c>
      <c r="J10" s="8">
        <v>48411</v>
      </c>
      <c r="K10" s="8">
        <v>4614</v>
      </c>
      <c r="L10" s="8">
        <v>4614</v>
      </c>
      <c r="M10" s="8">
        <v>4512</v>
      </c>
      <c r="N10" s="8">
        <v>36151</v>
      </c>
      <c r="O10" s="8">
        <v>4512</v>
      </c>
      <c r="P10" s="9">
        <f t="shared" si="0"/>
        <v>165691</v>
      </c>
      <c r="Q10" s="118"/>
    </row>
    <row r="11" spans="2:17" x14ac:dyDescent="0.3">
      <c r="B11" s="106"/>
      <c r="C11" s="7" t="s">
        <v>22</v>
      </c>
      <c r="D11" s="10">
        <v>498</v>
      </c>
      <c r="E11" s="10">
        <v>498</v>
      </c>
      <c r="F11" s="10">
        <v>2549</v>
      </c>
      <c r="G11" s="10">
        <v>300</v>
      </c>
      <c r="H11" s="10">
        <v>249</v>
      </c>
      <c r="I11" s="10">
        <v>449</v>
      </c>
      <c r="J11" s="10">
        <v>10299</v>
      </c>
      <c r="K11" s="10">
        <v>10377</v>
      </c>
      <c r="L11" s="10">
        <v>349</v>
      </c>
      <c r="M11" s="10">
        <v>2386</v>
      </c>
      <c r="N11" s="10">
        <v>2249</v>
      </c>
      <c r="O11" s="10">
        <v>3948</v>
      </c>
      <c r="P11" s="9">
        <f t="shared" si="0"/>
        <v>34151</v>
      </c>
      <c r="Q11" s="118"/>
    </row>
    <row r="12" spans="2:17" x14ac:dyDescent="0.3">
      <c r="B12" s="106"/>
      <c r="C12" s="7" t="s">
        <v>23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6878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9">
        <f t="shared" si="0"/>
        <v>6878</v>
      </c>
      <c r="Q12" s="118"/>
    </row>
    <row r="13" spans="2:17" x14ac:dyDescent="0.3">
      <c r="B13" s="106"/>
      <c r="C13" s="7" t="s">
        <v>14</v>
      </c>
      <c r="D13" s="10">
        <v>8500</v>
      </c>
      <c r="E13" s="10">
        <v>8500</v>
      </c>
      <c r="F13" s="10">
        <v>8500</v>
      </c>
      <c r="G13" s="10">
        <v>8500</v>
      </c>
      <c r="H13" s="10">
        <v>8500</v>
      </c>
      <c r="I13" s="10">
        <v>8500</v>
      </c>
      <c r="J13" s="10">
        <v>8500</v>
      </c>
      <c r="K13" s="10">
        <v>8500</v>
      </c>
      <c r="L13" s="10">
        <v>8500</v>
      </c>
      <c r="M13" s="10">
        <v>8500</v>
      </c>
      <c r="N13" s="10">
        <v>8500</v>
      </c>
      <c r="O13" s="10">
        <v>8500</v>
      </c>
      <c r="P13" s="9">
        <f t="shared" si="0"/>
        <v>102000</v>
      </c>
      <c r="Q13" s="118"/>
    </row>
    <row r="14" spans="2:17" x14ac:dyDescent="0.3">
      <c r="B14" s="106"/>
      <c r="C14" s="7" t="s">
        <v>25</v>
      </c>
      <c r="D14" s="11">
        <v>2670</v>
      </c>
      <c r="E14" s="11">
        <v>2670</v>
      </c>
      <c r="F14" s="11">
        <v>30249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6204</v>
      </c>
      <c r="M14" s="11">
        <v>0</v>
      </c>
      <c r="N14" s="11">
        <v>0</v>
      </c>
      <c r="O14" s="11">
        <v>0</v>
      </c>
      <c r="P14" s="9">
        <f t="shared" si="0"/>
        <v>41793</v>
      </c>
      <c r="Q14" s="118"/>
    </row>
    <row r="15" spans="2:17" x14ac:dyDescent="0.3">
      <c r="B15" s="106"/>
      <c r="C15" s="7" t="s">
        <v>16</v>
      </c>
      <c r="D15" s="10">
        <v>0</v>
      </c>
      <c r="E15" s="10">
        <v>0</v>
      </c>
      <c r="F15" s="10">
        <v>500</v>
      </c>
      <c r="G15" s="10">
        <v>0</v>
      </c>
      <c r="H15" s="10">
        <v>0</v>
      </c>
      <c r="I15" s="10">
        <v>0</v>
      </c>
      <c r="J15" s="10">
        <v>526</v>
      </c>
      <c r="K15" s="10">
        <v>0</v>
      </c>
      <c r="L15" s="10">
        <v>0</v>
      </c>
      <c r="M15" s="10">
        <v>0</v>
      </c>
      <c r="N15" s="10">
        <v>567</v>
      </c>
      <c r="O15" s="10">
        <v>0</v>
      </c>
      <c r="P15" s="9">
        <f t="shared" si="0"/>
        <v>1593</v>
      </c>
      <c r="Q15" s="118"/>
    </row>
    <row r="16" spans="2:17" x14ac:dyDescent="0.3">
      <c r="B16" s="123" t="s">
        <v>31</v>
      </c>
      <c r="C16" s="22" t="s">
        <v>30</v>
      </c>
      <c r="D16" s="25">
        <v>0</v>
      </c>
      <c r="E16" s="25">
        <v>0</v>
      </c>
      <c r="F16" s="25">
        <v>23292</v>
      </c>
      <c r="G16" s="25">
        <v>20000</v>
      </c>
      <c r="H16" s="25">
        <v>55139</v>
      </c>
      <c r="I16" s="25">
        <v>0</v>
      </c>
      <c r="J16" s="25">
        <v>0</v>
      </c>
      <c r="K16" s="25">
        <v>75000</v>
      </c>
      <c r="L16" s="25">
        <v>27500</v>
      </c>
      <c r="M16" s="25">
        <v>0</v>
      </c>
      <c r="N16" s="25">
        <v>9690</v>
      </c>
      <c r="O16" s="25">
        <v>21000</v>
      </c>
      <c r="P16" s="24">
        <f t="shared" si="0"/>
        <v>231621</v>
      </c>
      <c r="Q16" s="124">
        <f>SUM(P16:P20)</f>
        <v>1412287</v>
      </c>
    </row>
    <row r="17" spans="2:17" x14ac:dyDescent="0.3">
      <c r="B17" s="123"/>
      <c r="C17" s="22" t="s">
        <v>29</v>
      </c>
      <c r="D17" s="23">
        <v>0</v>
      </c>
      <c r="E17" s="23">
        <v>0</v>
      </c>
      <c r="F17" s="23">
        <v>0</v>
      </c>
      <c r="G17" s="23">
        <v>0</v>
      </c>
      <c r="H17" s="23">
        <v>0</v>
      </c>
      <c r="I17" s="23">
        <v>0</v>
      </c>
      <c r="J17" s="23">
        <v>0</v>
      </c>
      <c r="K17" s="23">
        <v>0</v>
      </c>
      <c r="L17" s="23">
        <v>0</v>
      </c>
      <c r="M17" s="23">
        <v>0</v>
      </c>
      <c r="N17" s="23">
        <v>0</v>
      </c>
      <c r="O17" s="23">
        <v>0</v>
      </c>
      <c r="P17" s="24">
        <f t="shared" si="0"/>
        <v>0</v>
      </c>
      <c r="Q17" s="121"/>
    </row>
    <row r="18" spans="2:17" x14ac:dyDescent="0.3">
      <c r="B18" s="123"/>
      <c r="C18" s="22" t="s">
        <v>27</v>
      </c>
      <c r="D18" s="25">
        <v>40000</v>
      </c>
      <c r="E18" s="25">
        <v>40000</v>
      </c>
      <c r="F18" s="25">
        <v>40000</v>
      </c>
      <c r="G18" s="25">
        <v>20000</v>
      </c>
      <c r="H18" s="25">
        <v>20000</v>
      </c>
      <c r="I18" s="25">
        <v>20000</v>
      </c>
      <c r="J18" s="25">
        <v>20000</v>
      </c>
      <c r="K18" s="25">
        <v>20000</v>
      </c>
      <c r="L18" s="25">
        <v>20000</v>
      </c>
      <c r="M18" s="25">
        <v>259000</v>
      </c>
      <c r="N18" s="25">
        <v>582507</v>
      </c>
      <c r="O18" s="25">
        <v>18359</v>
      </c>
      <c r="P18" s="24">
        <f t="shared" si="0"/>
        <v>1099866</v>
      </c>
      <c r="Q18" s="121"/>
    </row>
    <row r="19" spans="2:17" x14ac:dyDescent="0.3">
      <c r="B19" s="123"/>
      <c r="C19" s="22" t="s">
        <v>70</v>
      </c>
      <c r="D19" s="23">
        <v>3000</v>
      </c>
      <c r="E19" s="23">
        <v>5000</v>
      </c>
      <c r="F19" s="23">
        <v>0</v>
      </c>
      <c r="G19" s="23">
        <v>0</v>
      </c>
      <c r="H19" s="23">
        <v>60000</v>
      </c>
      <c r="I19" s="23">
        <v>10000</v>
      </c>
      <c r="J19" s="23">
        <v>0</v>
      </c>
      <c r="K19" s="23">
        <v>0</v>
      </c>
      <c r="L19" s="23">
        <v>0</v>
      </c>
      <c r="M19" s="23">
        <v>0</v>
      </c>
      <c r="N19" s="23">
        <v>2800</v>
      </c>
      <c r="O19" s="23">
        <v>0</v>
      </c>
      <c r="P19" s="24">
        <f t="shared" si="0"/>
        <v>80800</v>
      </c>
      <c r="Q19" s="121"/>
    </row>
    <row r="20" spans="2:17" x14ac:dyDescent="0.3">
      <c r="B20" s="123"/>
      <c r="C20" s="22" t="s">
        <v>28</v>
      </c>
      <c r="D20" s="32">
        <v>0</v>
      </c>
      <c r="E20" s="32">
        <v>0</v>
      </c>
      <c r="F20" s="32">
        <v>0</v>
      </c>
      <c r="G20" s="32">
        <v>0</v>
      </c>
      <c r="H20" s="32">
        <v>0</v>
      </c>
      <c r="I20" s="32">
        <v>0</v>
      </c>
      <c r="J20" s="32">
        <v>0</v>
      </c>
      <c r="K20" s="32">
        <v>0</v>
      </c>
      <c r="L20" s="32">
        <v>0</v>
      </c>
      <c r="M20" s="32">
        <v>0</v>
      </c>
      <c r="N20" s="32">
        <v>0</v>
      </c>
      <c r="O20" s="32">
        <v>0</v>
      </c>
      <c r="P20" s="24">
        <f t="shared" si="0"/>
        <v>0</v>
      </c>
      <c r="Q20" s="121"/>
    </row>
    <row r="21" spans="2:17" x14ac:dyDescent="0.3">
      <c r="B21" s="106" t="s">
        <v>32</v>
      </c>
      <c r="C21" s="7" t="s">
        <v>69</v>
      </c>
      <c r="D21" s="10">
        <v>0</v>
      </c>
      <c r="E21" s="10">
        <v>0</v>
      </c>
      <c r="F21" s="10">
        <v>1790</v>
      </c>
      <c r="G21" s="10">
        <v>0</v>
      </c>
      <c r="H21" s="10">
        <v>3441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9">
        <f t="shared" si="0"/>
        <v>5231</v>
      </c>
      <c r="Q21" s="125">
        <f>SUM(P21:P25)</f>
        <v>196831</v>
      </c>
    </row>
    <row r="22" spans="2:17" x14ac:dyDescent="0.3">
      <c r="B22" s="106"/>
      <c r="C22" s="7" t="s">
        <v>33</v>
      </c>
      <c r="D22" s="8">
        <v>5000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5000</v>
      </c>
      <c r="K22" s="8">
        <v>80000</v>
      </c>
      <c r="L22" s="8">
        <v>0</v>
      </c>
      <c r="M22" s="8">
        <v>0</v>
      </c>
      <c r="N22" s="8">
        <v>0</v>
      </c>
      <c r="O22" s="8">
        <v>0</v>
      </c>
      <c r="P22" s="9">
        <f t="shared" si="0"/>
        <v>90000</v>
      </c>
      <c r="Q22" s="118"/>
    </row>
    <row r="23" spans="2:17" x14ac:dyDescent="0.3">
      <c r="B23" s="106"/>
      <c r="C23" s="7" t="s">
        <v>36</v>
      </c>
      <c r="D23" s="10">
        <v>1000</v>
      </c>
      <c r="E23" s="10">
        <v>1000</v>
      </c>
      <c r="F23" s="10">
        <v>1000</v>
      </c>
      <c r="G23" s="10">
        <v>1000</v>
      </c>
      <c r="H23" s="10">
        <v>1000</v>
      </c>
      <c r="I23" s="10">
        <v>1000</v>
      </c>
      <c r="J23" s="10">
        <v>1000</v>
      </c>
      <c r="K23" s="10">
        <v>1000</v>
      </c>
      <c r="L23" s="10">
        <v>1000</v>
      </c>
      <c r="M23" s="10">
        <v>1000</v>
      </c>
      <c r="N23" s="10">
        <v>1000</v>
      </c>
      <c r="O23" s="10">
        <v>1000</v>
      </c>
      <c r="P23" s="9">
        <f t="shared" si="0"/>
        <v>12000</v>
      </c>
      <c r="Q23" s="118"/>
    </row>
    <row r="24" spans="2:17" x14ac:dyDescent="0.3">
      <c r="B24" s="106"/>
      <c r="C24" s="7" t="s">
        <v>34</v>
      </c>
      <c r="D24" s="8">
        <v>11000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20000</v>
      </c>
      <c r="M24" s="8">
        <v>0</v>
      </c>
      <c r="N24" s="8">
        <v>0</v>
      </c>
      <c r="O24" s="8">
        <v>0</v>
      </c>
      <c r="P24" s="9">
        <f t="shared" si="0"/>
        <v>31000</v>
      </c>
      <c r="Q24" s="118"/>
    </row>
    <row r="25" spans="2:17" x14ac:dyDescent="0.3">
      <c r="B25" s="106"/>
      <c r="C25" s="7" t="s">
        <v>35</v>
      </c>
      <c r="D25" s="10">
        <v>8500</v>
      </c>
      <c r="E25" s="10">
        <v>4000</v>
      </c>
      <c r="F25" s="10">
        <v>11200</v>
      </c>
      <c r="G25" s="10">
        <v>9050</v>
      </c>
      <c r="H25" s="10">
        <v>5850</v>
      </c>
      <c r="I25" s="10">
        <v>2000</v>
      </c>
      <c r="J25" s="10">
        <v>3000</v>
      </c>
      <c r="K25" s="10">
        <v>3000</v>
      </c>
      <c r="L25" s="10">
        <v>3000</v>
      </c>
      <c r="M25" s="10">
        <v>9000</v>
      </c>
      <c r="N25" s="10">
        <v>0</v>
      </c>
      <c r="O25" s="10">
        <v>0</v>
      </c>
      <c r="P25" s="9">
        <f t="shared" si="0"/>
        <v>58600</v>
      </c>
      <c r="Q25" s="118"/>
    </row>
    <row r="26" spans="2:17" x14ac:dyDescent="0.3">
      <c r="B26" s="113" t="s">
        <v>37</v>
      </c>
      <c r="C26" s="22" t="s">
        <v>38</v>
      </c>
      <c r="D26" s="32">
        <v>13315</v>
      </c>
      <c r="E26" s="32">
        <v>0</v>
      </c>
      <c r="F26" s="32">
        <v>4400</v>
      </c>
      <c r="G26" s="32">
        <v>1500</v>
      </c>
      <c r="H26" s="32">
        <v>0</v>
      </c>
      <c r="I26" s="32">
        <v>0</v>
      </c>
      <c r="J26" s="32">
        <v>0</v>
      </c>
      <c r="K26" s="32">
        <v>381</v>
      </c>
      <c r="L26" s="32">
        <v>7530</v>
      </c>
      <c r="M26" s="32">
        <v>7450</v>
      </c>
      <c r="N26" s="32">
        <v>5800</v>
      </c>
      <c r="O26" s="32">
        <v>0</v>
      </c>
      <c r="P26" s="24">
        <f t="shared" si="0"/>
        <v>40376</v>
      </c>
      <c r="Q26" s="124">
        <f>SUM(P26:P27)</f>
        <v>88189</v>
      </c>
    </row>
    <row r="27" spans="2:17" x14ac:dyDescent="0.3">
      <c r="B27" s="113"/>
      <c r="C27" s="42" t="s">
        <v>39</v>
      </c>
      <c r="D27" s="23">
        <v>0</v>
      </c>
      <c r="E27" s="23">
        <v>0</v>
      </c>
      <c r="F27" s="23">
        <v>9145</v>
      </c>
      <c r="G27" s="23">
        <v>1420</v>
      </c>
      <c r="H27" s="23">
        <v>1510</v>
      </c>
      <c r="I27" s="23">
        <v>0</v>
      </c>
      <c r="J27" s="23">
        <v>0</v>
      </c>
      <c r="K27" s="23">
        <v>3495</v>
      </c>
      <c r="L27" s="23">
        <v>25490</v>
      </c>
      <c r="M27" s="23">
        <v>6003</v>
      </c>
      <c r="N27" s="23">
        <v>750</v>
      </c>
      <c r="O27" s="23">
        <v>0</v>
      </c>
      <c r="P27" s="24">
        <f t="shared" si="0"/>
        <v>47813</v>
      </c>
      <c r="Q27" s="121"/>
    </row>
    <row r="28" spans="2:17" x14ac:dyDescent="0.3">
      <c r="B28" s="106" t="s">
        <v>40</v>
      </c>
      <c r="C28" s="7" t="s">
        <v>41</v>
      </c>
      <c r="D28" s="8">
        <v>1000</v>
      </c>
      <c r="E28" s="8">
        <v>1500</v>
      </c>
      <c r="F28" s="8">
        <v>5478</v>
      </c>
      <c r="G28" s="8">
        <v>400</v>
      </c>
      <c r="H28" s="8">
        <v>14758</v>
      </c>
      <c r="I28" s="8">
        <v>0</v>
      </c>
      <c r="J28" s="8">
        <v>2250</v>
      </c>
      <c r="K28" s="8">
        <v>5095</v>
      </c>
      <c r="L28" s="8">
        <v>0</v>
      </c>
      <c r="M28" s="8">
        <v>5282</v>
      </c>
      <c r="N28" s="8">
        <v>6397</v>
      </c>
      <c r="O28" s="8">
        <v>1100</v>
      </c>
      <c r="P28" s="9">
        <f t="shared" si="0"/>
        <v>43260</v>
      </c>
      <c r="Q28" s="125">
        <f>SUM(P28:P35)</f>
        <v>505698</v>
      </c>
    </row>
    <row r="29" spans="2:17" x14ac:dyDescent="0.3">
      <c r="B29" s="106"/>
      <c r="C29" s="7" t="s">
        <v>42</v>
      </c>
      <c r="D29" s="8">
        <v>6969</v>
      </c>
      <c r="E29" s="8">
        <v>4809</v>
      </c>
      <c r="F29" s="8">
        <v>4563</v>
      </c>
      <c r="G29" s="8">
        <v>6417</v>
      </c>
      <c r="H29" s="8">
        <v>7378</v>
      </c>
      <c r="I29" s="8">
        <v>51327</v>
      </c>
      <c r="J29" s="8">
        <v>9338</v>
      </c>
      <c r="K29" s="8">
        <v>9061</v>
      </c>
      <c r="L29" s="8">
        <v>4400</v>
      </c>
      <c r="M29" s="8">
        <v>12275</v>
      </c>
      <c r="N29" s="8">
        <v>7382</v>
      </c>
      <c r="O29" s="8">
        <v>5963</v>
      </c>
      <c r="P29" s="9">
        <f t="shared" si="0"/>
        <v>129882</v>
      </c>
      <c r="Q29" s="118"/>
    </row>
    <row r="30" spans="2:17" x14ac:dyDescent="0.3">
      <c r="B30" s="106"/>
      <c r="C30" s="7" t="s">
        <v>65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12406</v>
      </c>
      <c r="J30" s="8">
        <v>35000</v>
      </c>
      <c r="K30" s="8">
        <v>7000</v>
      </c>
      <c r="L30" s="8">
        <v>7000</v>
      </c>
      <c r="M30" s="8">
        <v>7000</v>
      </c>
      <c r="N30" s="8">
        <v>3500</v>
      </c>
      <c r="O30" s="8">
        <v>7000</v>
      </c>
      <c r="P30" s="9">
        <f t="shared" si="0"/>
        <v>78906</v>
      </c>
      <c r="Q30" s="118"/>
    </row>
    <row r="31" spans="2:17" x14ac:dyDescent="0.3">
      <c r="B31" s="106"/>
      <c r="C31" s="16" t="s">
        <v>43</v>
      </c>
      <c r="D31" s="10">
        <v>2250</v>
      </c>
      <c r="E31" s="10">
        <v>750</v>
      </c>
      <c r="F31" s="10">
        <v>0</v>
      </c>
      <c r="G31" s="10">
        <v>0</v>
      </c>
      <c r="H31" s="10">
        <v>0</v>
      </c>
      <c r="I31" s="10">
        <v>2150</v>
      </c>
      <c r="J31" s="10">
        <v>0</v>
      </c>
      <c r="K31" s="10">
        <v>1700</v>
      </c>
      <c r="L31" s="10">
        <v>1550</v>
      </c>
      <c r="M31" s="10">
        <v>850</v>
      </c>
      <c r="N31" s="10">
        <v>1700</v>
      </c>
      <c r="O31" s="10">
        <v>0</v>
      </c>
      <c r="P31" s="9">
        <f t="shared" si="0"/>
        <v>10950</v>
      </c>
      <c r="Q31" s="118"/>
    </row>
    <row r="32" spans="2:17" x14ac:dyDescent="0.3">
      <c r="B32" s="106"/>
      <c r="C32" s="7" t="s">
        <v>66</v>
      </c>
      <c r="D32" s="10">
        <v>0</v>
      </c>
      <c r="E32" s="10">
        <v>0</v>
      </c>
      <c r="F32" s="10">
        <v>0</v>
      </c>
      <c r="G32" s="10">
        <v>0</v>
      </c>
      <c r="H32" s="10">
        <v>590</v>
      </c>
      <c r="I32" s="10">
        <v>0</v>
      </c>
      <c r="J32" s="10">
        <v>0</v>
      </c>
      <c r="K32" s="10">
        <v>699</v>
      </c>
      <c r="L32" s="10">
        <v>0</v>
      </c>
      <c r="M32" s="10">
        <v>448</v>
      </c>
      <c r="N32" s="10">
        <v>0</v>
      </c>
      <c r="O32" s="10">
        <v>0</v>
      </c>
      <c r="P32" s="9">
        <f t="shared" si="0"/>
        <v>1737</v>
      </c>
      <c r="Q32" s="118"/>
    </row>
    <row r="33" spans="2:17" x14ac:dyDescent="0.3">
      <c r="B33" s="106"/>
      <c r="C33" s="7" t="s">
        <v>64</v>
      </c>
      <c r="D33" s="10">
        <v>0</v>
      </c>
      <c r="E33" s="10">
        <v>1287</v>
      </c>
      <c r="F33" s="10">
        <v>0</v>
      </c>
      <c r="G33" s="10">
        <v>0</v>
      </c>
      <c r="H33" s="10">
        <v>1260</v>
      </c>
      <c r="I33" s="10">
        <v>480</v>
      </c>
      <c r="J33" s="10">
        <v>0</v>
      </c>
      <c r="K33" s="10">
        <v>0</v>
      </c>
      <c r="L33" s="10">
        <v>260</v>
      </c>
      <c r="M33" s="10">
        <v>3570</v>
      </c>
      <c r="N33" s="10">
        <v>0</v>
      </c>
      <c r="O33" s="10">
        <v>0</v>
      </c>
      <c r="P33" s="9">
        <f t="shared" si="0"/>
        <v>6857</v>
      </c>
      <c r="Q33" s="118"/>
    </row>
    <row r="34" spans="2:17" x14ac:dyDescent="0.3">
      <c r="B34" s="106"/>
      <c r="C34" s="7" t="s">
        <v>63</v>
      </c>
      <c r="D34" s="11">
        <v>0</v>
      </c>
      <c r="E34" s="11">
        <v>650</v>
      </c>
      <c r="F34" s="11">
        <v>0</v>
      </c>
      <c r="G34" s="11">
        <v>0</v>
      </c>
      <c r="H34" s="11">
        <v>0</v>
      </c>
      <c r="I34" s="11">
        <v>1050</v>
      </c>
      <c r="J34" s="11">
        <v>0</v>
      </c>
      <c r="K34" s="11">
        <v>1800</v>
      </c>
      <c r="L34" s="11">
        <v>0</v>
      </c>
      <c r="M34" s="11">
        <v>8364</v>
      </c>
      <c r="N34" s="11">
        <v>1350</v>
      </c>
      <c r="O34" s="11">
        <v>11590</v>
      </c>
      <c r="P34" s="9">
        <f t="shared" si="0"/>
        <v>24804</v>
      </c>
      <c r="Q34" s="118"/>
    </row>
    <row r="35" spans="2:17" x14ac:dyDescent="0.3">
      <c r="B35" s="106"/>
      <c r="C35" s="7" t="s">
        <v>44</v>
      </c>
      <c r="D35" s="10">
        <v>14670</v>
      </c>
      <c r="E35" s="10">
        <v>44291</v>
      </c>
      <c r="F35" s="10">
        <v>0</v>
      </c>
      <c r="G35" s="10">
        <v>0</v>
      </c>
      <c r="H35" s="10">
        <v>11210</v>
      </c>
      <c r="I35" s="10">
        <v>4700</v>
      </c>
      <c r="J35" s="10">
        <v>0</v>
      </c>
      <c r="K35" s="10">
        <v>0</v>
      </c>
      <c r="L35" s="10">
        <v>6120</v>
      </c>
      <c r="M35" s="10">
        <v>6513</v>
      </c>
      <c r="N35" s="10">
        <v>6920</v>
      </c>
      <c r="O35" s="10">
        <v>114878</v>
      </c>
      <c r="P35" s="9">
        <f t="shared" si="0"/>
        <v>209302</v>
      </c>
      <c r="Q35" s="118"/>
    </row>
    <row r="36" spans="2:17" x14ac:dyDescent="0.3">
      <c r="B36" s="113" t="s">
        <v>45</v>
      </c>
      <c r="C36" s="22" t="s">
        <v>51</v>
      </c>
      <c r="D36" s="25">
        <v>5000</v>
      </c>
      <c r="E36" s="25">
        <v>5000</v>
      </c>
      <c r="F36" s="25">
        <v>5000</v>
      </c>
      <c r="G36" s="25">
        <v>5000</v>
      </c>
      <c r="H36" s="25">
        <v>5000</v>
      </c>
      <c r="I36" s="25">
        <v>5000</v>
      </c>
      <c r="J36" s="25">
        <v>5000</v>
      </c>
      <c r="K36" s="25">
        <v>5000</v>
      </c>
      <c r="L36" s="25">
        <v>5000</v>
      </c>
      <c r="M36" s="25">
        <v>5000</v>
      </c>
      <c r="N36" s="25">
        <v>5000</v>
      </c>
      <c r="O36" s="25">
        <v>5000</v>
      </c>
      <c r="P36" s="24">
        <f t="shared" si="0"/>
        <v>60000</v>
      </c>
      <c r="Q36" s="124">
        <f>SUM(P36:P42)</f>
        <v>670411</v>
      </c>
    </row>
    <row r="37" spans="2:17" x14ac:dyDescent="0.3">
      <c r="B37" s="113"/>
      <c r="C37" s="22" t="s">
        <v>46</v>
      </c>
      <c r="D37" s="23">
        <v>0</v>
      </c>
      <c r="E37" s="23">
        <v>0</v>
      </c>
      <c r="F37" s="23">
        <v>0</v>
      </c>
      <c r="G37" s="23">
        <v>0</v>
      </c>
      <c r="H37" s="23">
        <v>0</v>
      </c>
      <c r="I37" s="23">
        <v>0</v>
      </c>
      <c r="J37" s="23">
        <v>0</v>
      </c>
      <c r="K37" s="23">
        <v>0</v>
      </c>
      <c r="L37" s="23">
        <v>0</v>
      </c>
      <c r="M37" s="23">
        <v>0</v>
      </c>
      <c r="N37" s="23">
        <v>29911</v>
      </c>
      <c r="O37" s="23">
        <v>0</v>
      </c>
      <c r="P37" s="24">
        <f t="shared" si="0"/>
        <v>29911</v>
      </c>
      <c r="Q37" s="121"/>
    </row>
    <row r="38" spans="2:17" x14ac:dyDescent="0.3">
      <c r="B38" s="113"/>
      <c r="C38" s="22" t="s">
        <v>48</v>
      </c>
      <c r="D38" s="25">
        <v>0</v>
      </c>
      <c r="E38" s="25">
        <v>0</v>
      </c>
      <c r="F38" s="25">
        <v>0</v>
      </c>
      <c r="G38" s="25">
        <v>0</v>
      </c>
      <c r="H38" s="25">
        <v>0</v>
      </c>
      <c r="I38" s="25">
        <v>0</v>
      </c>
      <c r="J38" s="25">
        <v>0</v>
      </c>
      <c r="K38" s="25">
        <v>0</v>
      </c>
      <c r="L38" s="25">
        <v>0</v>
      </c>
      <c r="M38" s="25">
        <v>0</v>
      </c>
      <c r="N38" s="25">
        <v>0</v>
      </c>
      <c r="O38" s="25">
        <v>0</v>
      </c>
      <c r="P38" s="24">
        <f t="shared" si="0"/>
        <v>0</v>
      </c>
      <c r="Q38" s="121"/>
    </row>
    <row r="39" spans="2:17" x14ac:dyDescent="0.3">
      <c r="B39" s="113"/>
      <c r="C39" s="22" t="s">
        <v>49</v>
      </c>
      <c r="D39" s="23">
        <v>0</v>
      </c>
      <c r="E39" s="23">
        <v>0</v>
      </c>
      <c r="F39" s="23">
        <v>0</v>
      </c>
      <c r="G39" s="23">
        <v>0</v>
      </c>
      <c r="H39" s="23">
        <v>0</v>
      </c>
      <c r="I39" s="23">
        <v>0</v>
      </c>
      <c r="J39" s="23">
        <v>0</v>
      </c>
      <c r="K39" s="23">
        <v>0</v>
      </c>
      <c r="L39" s="23">
        <v>0</v>
      </c>
      <c r="M39" s="23">
        <v>0</v>
      </c>
      <c r="N39" s="23">
        <v>0</v>
      </c>
      <c r="O39" s="23">
        <v>0</v>
      </c>
      <c r="P39" s="24">
        <f t="shared" si="0"/>
        <v>0</v>
      </c>
      <c r="Q39" s="121"/>
    </row>
    <row r="40" spans="2:17" x14ac:dyDescent="0.3">
      <c r="B40" s="113"/>
      <c r="C40" s="22" t="s">
        <v>60</v>
      </c>
      <c r="D40" s="23">
        <v>0</v>
      </c>
      <c r="E40" s="23">
        <v>0</v>
      </c>
      <c r="F40" s="23">
        <v>0</v>
      </c>
      <c r="G40" s="23">
        <v>0</v>
      </c>
      <c r="H40" s="23">
        <v>0</v>
      </c>
      <c r="I40" s="23">
        <v>0</v>
      </c>
      <c r="J40" s="23">
        <v>0</v>
      </c>
      <c r="K40" s="23">
        <v>0</v>
      </c>
      <c r="L40" s="23">
        <v>0</v>
      </c>
      <c r="M40" s="23">
        <v>0</v>
      </c>
      <c r="N40" s="23">
        <v>0</v>
      </c>
      <c r="O40" s="23">
        <v>0</v>
      </c>
      <c r="P40" s="24">
        <f t="shared" si="0"/>
        <v>0</v>
      </c>
      <c r="Q40" s="121"/>
    </row>
    <row r="41" spans="2:17" x14ac:dyDescent="0.3">
      <c r="B41" s="113"/>
      <c r="C41" s="22" t="s">
        <v>50</v>
      </c>
      <c r="D41" s="32">
        <v>0</v>
      </c>
      <c r="E41" s="32">
        <v>0</v>
      </c>
      <c r="F41" s="32">
        <v>0</v>
      </c>
      <c r="G41" s="32">
        <v>0</v>
      </c>
      <c r="H41" s="32">
        <v>0</v>
      </c>
      <c r="I41" s="32">
        <v>0</v>
      </c>
      <c r="J41" s="32">
        <v>0</v>
      </c>
      <c r="K41" s="32">
        <v>0</v>
      </c>
      <c r="L41" s="32">
        <v>0</v>
      </c>
      <c r="M41" s="32">
        <v>0</v>
      </c>
      <c r="N41" s="32">
        <v>0</v>
      </c>
      <c r="O41" s="32">
        <v>0</v>
      </c>
      <c r="P41" s="24">
        <f t="shared" si="0"/>
        <v>0</v>
      </c>
      <c r="Q41" s="121"/>
    </row>
    <row r="42" spans="2:17" x14ac:dyDescent="0.3">
      <c r="B42" s="113"/>
      <c r="C42" s="22" t="s">
        <v>47</v>
      </c>
      <c r="D42" s="32">
        <v>62000</v>
      </c>
      <c r="E42" s="23">
        <v>62000</v>
      </c>
      <c r="F42" s="23">
        <v>62000</v>
      </c>
      <c r="G42" s="23">
        <v>62000</v>
      </c>
      <c r="H42" s="23">
        <v>37500</v>
      </c>
      <c r="I42" s="23">
        <v>23000</v>
      </c>
      <c r="J42" s="23">
        <v>65500</v>
      </c>
      <c r="K42" s="23">
        <v>65500</v>
      </c>
      <c r="L42" s="23">
        <v>65500</v>
      </c>
      <c r="M42" s="32">
        <v>62500</v>
      </c>
      <c r="N42" s="32">
        <v>13000</v>
      </c>
      <c r="O42" s="32">
        <v>0</v>
      </c>
      <c r="P42" s="24">
        <f t="shared" si="0"/>
        <v>580500</v>
      </c>
      <c r="Q42" s="121"/>
    </row>
    <row r="43" spans="2:17" x14ac:dyDescent="0.3">
      <c r="B43" s="106" t="s">
        <v>52</v>
      </c>
      <c r="C43" s="7" t="s">
        <v>53</v>
      </c>
      <c r="D43" s="8">
        <v>1000</v>
      </c>
      <c r="E43" s="8">
        <v>500</v>
      </c>
      <c r="F43" s="8">
        <v>500</v>
      </c>
      <c r="G43" s="8">
        <v>809</v>
      </c>
      <c r="H43" s="8">
        <v>5500</v>
      </c>
      <c r="I43" s="8">
        <v>0</v>
      </c>
      <c r="J43" s="8">
        <v>0</v>
      </c>
      <c r="K43" s="8">
        <v>0</v>
      </c>
      <c r="L43" s="8">
        <v>10000</v>
      </c>
      <c r="M43" s="8">
        <v>2000</v>
      </c>
      <c r="N43" s="8">
        <v>2970</v>
      </c>
      <c r="O43" s="8">
        <v>0</v>
      </c>
      <c r="P43" s="9">
        <f t="shared" si="0"/>
        <v>23279</v>
      </c>
      <c r="Q43" s="125">
        <f>SUM(P43:P46)</f>
        <v>155715</v>
      </c>
    </row>
    <row r="44" spans="2:17" x14ac:dyDescent="0.3">
      <c r="B44" s="106"/>
      <c r="C44" s="7" t="s">
        <v>54</v>
      </c>
      <c r="D44" s="10">
        <v>1070</v>
      </c>
      <c r="E44" s="10">
        <v>0</v>
      </c>
      <c r="F44" s="10">
        <v>14220</v>
      </c>
      <c r="G44" s="10">
        <v>0</v>
      </c>
      <c r="H44" s="10">
        <v>0</v>
      </c>
      <c r="I44" s="10">
        <v>800</v>
      </c>
      <c r="J44" s="10">
        <v>0</v>
      </c>
      <c r="K44" s="10">
        <v>0</v>
      </c>
      <c r="L44" s="10">
        <v>0</v>
      </c>
      <c r="M44" s="10">
        <v>4009</v>
      </c>
      <c r="N44" s="10">
        <v>0</v>
      </c>
      <c r="O44" s="10">
        <v>3908</v>
      </c>
      <c r="P44" s="9">
        <f t="shared" si="0"/>
        <v>24007</v>
      </c>
      <c r="Q44" s="118"/>
    </row>
    <row r="45" spans="2:17" x14ac:dyDescent="0.3">
      <c r="B45" s="106"/>
      <c r="C45" s="7" t="s">
        <v>55</v>
      </c>
      <c r="D45" s="11">
        <v>5346</v>
      </c>
      <c r="E45" s="11">
        <v>0</v>
      </c>
      <c r="F45" s="11">
        <v>5470</v>
      </c>
      <c r="G45" s="11">
        <v>14800</v>
      </c>
      <c r="H45" s="11">
        <v>48</v>
      </c>
      <c r="I45" s="11">
        <v>15854</v>
      </c>
      <c r="J45" s="11">
        <v>22300</v>
      </c>
      <c r="K45" s="11">
        <v>19825</v>
      </c>
      <c r="L45" s="11">
        <v>2849</v>
      </c>
      <c r="M45" s="11">
        <v>3734</v>
      </c>
      <c r="N45" s="11">
        <v>4773</v>
      </c>
      <c r="O45" s="11">
        <v>5800</v>
      </c>
      <c r="P45" s="9">
        <f t="shared" si="0"/>
        <v>100799</v>
      </c>
      <c r="Q45" s="118"/>
    </row>
    <row r="46" spans="2:17" x14ac:dyDescent="0.3">
      <c r="B46" s="106"/>
      <c r="C46" s="7" t="s">
        <v>68</v>
      </c>
      <c r="D46" s="10">
        <v>1230</v>
      </c>
      <c r="E46" s="10">
        <v>0</v>
      </c>
      <c r="F46" s="10">
        <v>0</v>
      </c>
      <c r="G46" s="10">
        <v>0</v>
      </c>
      <c r="H46" s="10">
        <v>2200</v>
      </c>
      <c r="I46" s="10">
        <v>0</v>
      </c>
      <c r="J46" s="10">
        <v>0</v>
      </c>
      <c r="K46" s="10">
        <v>3000</v>
      </c>
      <c r="L46" s="10">
        <v>0</v>
      </c>
      <c r="M46" s="10">
        <v>0</v>
      </c>
      <c r="N46" s="10">
        <v>1200</v>
      </c>
      <c r="O46" s="10">
        <v>0</v>
      </c>
      <c r="P46" s="9">
        <f t="shared" si="0"/>
        <v>7630</v>
      </c>
      <c r="Q46" s="118"/>
    </row>
    <row r="47" spans="2:17" ht="15" thickBot="1" x14ac:dyDescent="0.35">
      <c r="B47" s="39" t="s">
        <v>58</v>
      </c>
      <c r="C47" s="26" t="s">
        <v>59</v>
      </c>
      <c r="D47" s="31">
        <v>0</v>
      </c>
      <c r="E47" s="31">
        <v>0</v>
      </c>
      <c r="F47" s="31">
        <v>0</v>
      </c>
      <c r="G47" s="31">
        <v>0</v>
      </c>
      <c r="H47" s="31">
        <v>0</v>
      </c>
      <c r="I47" s="31">
        <v>0</v>
      </c>
      <c r="J47" s="31">
        <v>0</v>
      </c>
      <c r="K47" s="31">
        <v>0</v>
      </c>
      <c r="L47" s="31">
        <v>0</v>
      </c>
      <c r="M47" s="31">
        <v>0</v>
      </c>
      <c r="N47" s="31">
        <v>0</v>
      </c>
      <c r="O47" s="31">
        <v>0</v>
      </c>
      <c r="P47" s="28">
        <f t="shared" si="0"/>
        <v>0</v>
      </c>
      <c r="Q47" s="43">
        <f>SUM(P47:P47)</f>
        <v>0</v>
      </c>
    </row>
    <row r="48" spans="2:17" ht="18" thickBot="1" x14ac:dyDescent="0.35">
      <c r="B48" s="126" t="s">
        <v>57</v>
      </c>
      <c r="C48" s="127"/>
      <c r="D48" s="40">
        <f>SUM(D3:D47)</f>
        <v>223648</v>
      </c>
      <c r="E48" s="40">
        <f t="shared" ref="E48:Q48" si="1">SUM(E3:E47)</f>
        <v>203595</v>
      </c>
      <c r="F48" s="40">
        <f t="shared" si="1"/>
        <v>278040</v>
      </c>
      <c r="G48" s="40">
        <f t="shared" si="1"/>
        <v>184422</v>
      </c>
      <c r="H48" s="40">
        <f t="shared" si="1"/>
        <v>272968</v>
      </c>
      <c r="I48" s="40">
        <f t="shared" si="1"/>
        <v>193261</v>
      </c>
      <c r="J48" s="40">
        <f t="shared" si="1"/>
        <v>255031</v>
      </c>
      <c r="K48" s="40">
        <f t="shared" si="1"/>
        <v>352433</v>
      </c>
      <c r="L48" s="40">
        <f t="shared" si="1"/>
        <v>245632</v>
      </c>
      <c r="M48" s="40">
        <f t="shared" si="1"/>
        <v>439750</v>
      </c>
      <c r="N48" s="41">
        <f>SUM(N3:N47)</f>
        <v>746823</v>
      </c>
      <c r="O48" s="40">
        <f t="shared" si="1"/>
        <v>226858</v>
      </c>
      <c r="P48" s="40">
        <f t="shared" si="1"/>
        <v>3622461</v>
      </c>
      <c r="Q48" s="41">
        <f t="shared" si="1"/>
        <v>3622461</v>
      </c>
    </row>
  </sheetData>
  <mergeCells count="15">
    <mergeCell ref="B43:B46"/>
    <mergeCell ref="Q43:Q46"/>
    <mergeCell ref="B48:C48"/>
    <mergeCell ref="B26:B27"/>
    <mergeCell ref="Q26:Q27"/>
    <mergeCell ref="B28:B35"/>
    <mergeCell ref="Q28:Q35"/>
    <mergeCell ref="B36:B42"/>
    <mergeCell ref="Q36:Q42"/>
    <mergeCell ref="B3:B15"/>
    <mergeCell ref="Q3:Q15"/>
    <mergeCell ref="B16:B20"/>
    <mergeCell ref="Q16:Q20"/>
    <mergeCell ref="B21:B25"/>
    <mergeCell ref="Q21:Q2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5E1FA-2200-46E1-B2F3-022D4D7DE827}">
  <dimension ref="B1:Q45"/>
  <sheetViews>
    <sheetView topLeftCell="D31" zoomScale="98" zoomScaleNormal="98" workbookViewId="0">
      <selection activeCell="I49" sqref="I49"/>
    </sheetView>
  </sheetViews>
  <sheetFormatPr defaultRowHeight="14.4" x14ac:dyDescent="0.3"/>
  <cols>
    <col min="2" max="2" width="37" bestFit="1" customWidth="1"/>
    <col min="3" max="3" width="75.5546875" bestFit="1" customWidth="1"/>
    <col min="12" max="12" width="11.21875" bestFit="1" customWidth="1"/>
    <col min="16" max="16" width="16.6640625" style="81" bestFit="1" customWidth="1"/>
    <col min="17" max="17" width="46.5546875" style="82" customWidth="1"/>
  </cols>
  <sheetData>
    <row r="1" spans="2:17" ht="15" thickBot="1" x14ac:dyDescent="0.35"/>
    <row r="2" spans="2:17" ht="18.600000000000001" thickBot="1" x14ac:dyDescent="0.35">
      <c r="B2" s="1" t="s">
        <v>12</v>
      </c>
      <c r="C2" s="2" t="s">
        <v>56</v>
      </c>
      <c r="D2" s="2" t="s">
        <v>0</v>
      </c>
      <c r="E2" s="2" t="s">
        <v>1</v>
      </c>
      <c r="F2" s="2" t="s">
        <v>2</v>
      </c>
      <c r="G2" s="2" t="s">
        <v>3</v>
      </c>
      <c r="H2" s="2" t="s">
        <v>4</v>
      </c>
      <c r="I2" s="2" t="s">
        <v>5</v>
      </c>
      <c r="J2" s="93" t="s">
        <v>6</v>
      </c>
      <c r="K2" s="83" t="s">
        <v>7</v>
      </c>
      <c r="L2" s="83" t="s">
        <v>8</v>
      </c>
      <c r="M2" s="83" t="s">
        <v>9</v>
      </c>
      <c r="N2" s="83" t="s">
        <v>10</v>
      </c>
      <c r="O2" s="83" t="s">
        <v>11</v>
      </c>
      <c r="P2" s="86" t="s">
        <v>62</v>
      </c>
      <c r="Q2" s="86" t="s">
        <v>61</v>
      </c>
    </row>
    <row r="3" spans="2:17" x14ac:dyDescent="0.3">
      <c r="B3" s="105" t="s">
        <v>13</v>
      </c>
      <c r="C3" s="4" t="s">
        <v>20</v>
      </c>
      <c r="D3" s="53">
        <v>2769</v>
      </c>
      <c r="E3" s="53">
        <v>516</v>
      </c>
      <c r="F3" s="53">
        <v>2835</v>
      </c>
      <c r="G3" s="53">
        <v>9105</v>
      </c>
      <c r="H3" s="53">
        <v>8600</v>
      </c>
      <c r="I3" s="53">
        <v>11500</v>
      </c>
      <c r="J3" s="67">
        <v>12000</v>
      </c>
      <c r="K3" s="94"/>
      <c r="L3" s="94"/>
      <c r="M3" s="94"/>
      <c r="N3" s="94"/>
      <c r="O3" s="94"/>
      <c r="P3" s="95">
        <f>SUM(D3:O3)</f>
        <v>47325</v>
      </c>
      <c r="Q3" s="131">
        <f>SUM(P3:P3:P17)</f>
        <v>456562</v>
      </c>
    </row>
    <row r="4" spans="2:17" x14ac:dyDescent="0.3">
      <c r="B4" s="106"/>
      <c r="C4" s="7" t="s">
        <v>71</v>
      </c>
      <c r="D4" s="54">
        <v>1250</v>
      </c>
      <c r="E4" s="54">
        <v>970</v>
      </c>
      <c r="F4" s="54">
        <v>1040</v>
      </c>
      <c r="G4" s="54">
        <v>1480</v>
      </c>
      <c r="H4" s="54">
        <v>640</v>
      </c>
      <c r="I4" s="54">
        <v>280</v>
      </c>
      <c r="J4" s="68">
        <v>2830</v>
      </c>
      <c r="K4" s="84"/>
      <c r="L4" s="84"/>
      <c r="M4" s="84"/>
      <c r="N4" s="84"/>
      <c r="O4" s="84"/>
      <c r="P4" s="87">
        <f t="shared" ref="P4:P44" si="0">SUM(D4:O4)</f>
        <v>8490</v>
      </c>
      <c r="Q4" s="132"/>
    </row>
    <row r="5" spans="2:17" x14ac:dyDescent="0.3">
      <c r="B5" s="106"/>
      <c r="C5" s="7" t="s">
        <v>18</v>
      </c>
      <c r="D5" s="55">
        <v>2850</v>
      </c>
      <c r="E5" s="55">
        <v>4011</v>
      </c>
      <c r="F5" s="55">
        <v>2400</v>
      </c>
      <c r="G5" s="55">
        <v>2400</v>
      </c>
      <c r="H5" s="55">
        <v>2400</v>
      </c>
      <c r="I5" s="55">
        <v>2400</v>
      </c>
      <c r="J5" s="69">
        <v>2400</v>
      </c>
      <c r="K5" s="84"/>
      <c r="L5" s="84"/>
      <c r="M5" s="84"/>
      <c r="N5" s="84"/>
      <c r="O5" s="84"/>
      <c r="P5" s="87">
        <f t="shared" si="0"/>
        <v>18861</v>
      </c>
      <c r="Q5" s="132"/>
    </row>
    <row r="6" spans="2:17" x14ac:dyDescent="0.3">
      <c r="B6" s="106"/>
      <c r="C6" s="7" t="s">
        <v>17</v>
      </c>
      <c r="D6" s="54">
        <v>856</v>
      </c>
      <c r="E6" s="54">
        <v>856</v>
      </c>
      <c r="F6" s="54">
        <v>916</v>
      </c>
      <c r="G6" s="54">
        <v>916</v>
      </c>
      <c r="H6" s="54">
        <v>920</v>
      </c>
      <c r="I6" s="54">
        <v>920</v>
      </c>
      <c r="J6" s="68">
        <v>0</v>
      </c>
      <c r="K6" s="84"/>
      <c r="L6" s="84"/>
      <c r="M6" s="84"/>
      <c r="N6" s="84"/>
      <c r="O6" s="84"/>
      <c r="P6" s="87">
        <f t="shared" si="0"/>
        <v>5384</v>
      </c>
      <c r="Q6" s="132"/>
    </row>
    <row r="7" spans="2:17" x14ac:dyDescent="0.3">
      <c r="B7" s="106"/>
      <c r="C7" s="7" t="s">
        <v>72</v>
      </c>
      <c r="D7" s="54">
        <v>4472</v>
      </c>
      <c r="E7" s="54">
        <v>4000</v>
      </c>
      <c r="F7" s="54">
        <v>1025</v>
      </c>
      <c r="G7" s="54">
        <v>15410</v>
      </c>
      <c r="H7" s="54">
        <v>2500</v>
      </c>
      <c r="I7" s="54">
        <v>3500</v>
      </c>
      <c r="J7" s="68">
        <v>4000</v>
      </c>
      <c r="K7" s="84"/>
      <c r="L7" s="84"/>
      <c r="M7" s="84"/>
      <c r="N7" s="84"/>
      <c r="O7" s="84"/>
      <c r="P7" s="87">
        <f t="shared" si="0"/>
        <v>34907</v>
      </c>
      <c r="Q7" s="132"/>
    </row>
    <row r="8" spans="2:17" x14ac:dyDescent="0.3">
      <c r="B8" s="106"/>
      <c r="C8" s="7" t="s">
        <v>73</v>
      </c>
      <c r="D8" s="55">
        <v>10000</v>
      </c>
      <c r="E8" s="55">
        <v>4096</v>
      </c>
      <c r="F8" s="55">
        <v>1755</v>
      </c>
      <c r="G8" s="55">
        <v>4479</v>
      </c>
      <c r="H8" s="55">
        <v>3600</v>
      </c>
      <c r="I8" s="55">
        <v>4500</v>
      </c>
      <c r="J8" s="69">
        <v>2500</v>
      </c>
      <c r="K8" s="84"/>
      <c r="L8" s="84"/>
      <c r="M8" s="84"/>
      <c r="N8" s="84"/>
      <c r="O8" s="84"/>
      <c r="P8" s="87">
        <f t="shared" si="0"/>
        <v>30930</v>
      </c>
      <c r="Q8" s="132"/>
    </row>
    <row r="9" spans="2:17" x14ac:dyDescent="0.3">
      <c r="B9" s="106"/>
      <c r="C9" s="7" t="s">
        <v>26</v>
      </c>
      <c r="D9" s="54">
        <v>5000</v>
      </c>
      <c r="E9" s="54">
        <v>5900</v>
      </c>
      <c r="F9" s="54">
        <v>5900</v>
      </c>
      <c r="G9" s="54">
        <v>5900</v>
      </c>
      <c r="H9" s="54">
        <v>7607</v>
      </c>
      <c r="I9" s="54">
        <v>8000</v>
      </c>
      <c r="J9" s="68">
        <v>8000</v>
      </c>
      <c r="K9" s="84"/>
      <c r="L9" s="84"/>
      <c r="M9" s="84"/>
      <c r="N9" s="84"/>
      <c r="O9" s="84"/>
      <c r="P9" s="87">
        <f t="shared" si="0"/>
        <v>46307</v>
      </c>
      <c r="Q9" s="132"/>
    </row>
    <row r="10" spans="2:17" x14ac:dyDescent="0.3">
      <c r="B10" s="106"/>
      <c r="C10" s="7" t="s">
        <v>21</v>
      </c>
      <c r="D10" s="55">
        <v>0</v>
      </c>
      <c r="E10" s="55">
        <v>0</v>
      </c>
      <c r="F10" s="55">
        <v>1200</v>
      </c>
      <c r="G10" s="55">
        <v>1200</v>
      </c>
      <c r="H10" s="55">
        <v>0</v>
      </c>
      <c r="I10" s="55">
        <v>8000</v>
      </c>
      <c r="J10" s="69">
        <v>0</v>
      </c>
      <c r="K10" s="84"/>
      <c r="L10" s="84"/>
      <c r="M10" s="84"/>
      <c r="N10" s="84"/>
      <c r="O10" s="84"/>
      <c r="P10" s="87">
        <f t="shared" si="0"/>
        <v>10400</v>
      </c>
      <c r="Q10" s="132"/>
    </row>
    <row r="11" spans="2:17" x14ac:dyDescent="0.3">
      <c r="B11" s="106"/>
      <c r="C11" s="7" t="s">
        <v>24</v>
      </c>
      <c r="D11" s="54">
        <v>69390</v>
      </c>
      <c r="E11" s="54">
        <v>4512</v>
      </c>
      <c r="F11" s="54">
        <v>16522</v>
      </c>
      <c r="G11" s="54">
        <v>4512</v>
      </c>
      <c r="H11" s="54">
        <v>4512</v>
      </c>
      <c r="I11" s="54">
        <v>4512</v>
      </c>
      <c r="J11" s="68">
        <v>49512</v>
      </c>
      <c r="K11" s="84"/>
      <c r="L11" s="84"/>
      <c r="M11" s="84"/>
      <c r="N11" s="84"/>
      <c r="O11" s="84"/>
      <c r="P11" s="87">
        <f t="shared" si="0"/>
        <v>153472</v>
      </c>
      <c r="Q11" s="132"/>
    </row>
    <row r="12" spans="2:17" x14ac:dyDescent="0.3">
      <c r="B12" s="106"/>
      <c r="C12" s="7" t="s">
        <v>74</v>
      </c>
      <c r="D12" s="55">
        <v>0</v>
      </c>
      <c r="E12" s="55">
        <v>0</v>
      </c>
      <c r="F12" s="55">
        <v>1378</v>
      </c>
      <c r="G12" s="55">
        <v>0</v>
      </c>
      <c r="H12" s="55">
        <v>2450</v>
      </c>
      <c r="I12" s="55">
        <v>2450</v>
      </c>
      <c r="J12" s="69">
        <v>800</v>
      </c>
      <c r="K12" s="84"/>
      <c r="L12" s="84"/>
      <c r="M12" s="84"/>
      <c r="N12" s="84"/>
      <c r="O12" s="84"/>
      <c r="P12" s="87">
        <f t="shared" si="0"/>
        <v>7078</v>
      </c>
      <c r="Q12" s="132"/>
    </row>
    <row r="13" spans="2:17" x14ac:dyDescent="0.3">
      <c r="B13" s="106"/>
      <c r="C13" s="7" t="s">
        <v>75</v>
      </c>
      <c r="D13" s="55">
        <v>11830</v>
      </c>
      <c r="E13" s="55">
        <v>12330</v>
      </c>
      <c r="F13" s="55">
        <v>3388</v>
      </c>
      <c r="G13" s="55">
        <v>3885</v>
      </c>
      <c r="H13" s="55">
        <v>0</v>
      </c>
      <c r="I13" s="55">
        <v>0</v>
      </c>
      <c r="J13" s="69">
        <v>0</v>
      </c>
      <c r="K13" s="84"/>
      <c r="L13" s="84"/>
      <c r="M13" s="84"/>
      <c r="N13" s="84"/>
      <c r="O13" s="84"/>
      <c r="P13" s="87">
        <f t="shared" si="0"/>
        <v>31433</v>
      </c>
      <c r="Q13" s="132"/>
    </row>
    <row r="14" spans="2:17" x14ac:dyDescent="0.3">
      <c r="B14" s="106"/>
      <c r="C14" s="7" t="s">
        <v>25</v>
      </c>
      <c r="D14" s="56">
        <v>0</v>
      </c>
      <c r="E14" s="56">
        <v>0</v>
      </c>
      <c r="F14" s="56">
        <v>25635</v>
      </c>
      <c r="G14" s="56">
        <v>0</v>
      </c>
      <c r="H14" s="56">
        <v>0</v>
      </c>
      <c r="I14" s="56">
        <v>0</v>
      </c>
      <c r="J14" s="70">
        <v>7000</v>
      </c>
      <c r="K14" s="84"/>
      <c r="L14" s="84"/>
      <c r="M14" s="84"/>
      <c r="N14" s="84"/>
      <c r="O14" s="84"/>
      <c r="P14" s="87">
        <f t="shared" si="0"/>
        <v>32635</v>
      </c>
      <c r="Q14" s="132"/>
    </row>
    <row r="15" spans="2:17" x14ac:dyDescent="0.3">
      <c r="B15" s="106"/>
      <c r="C15" s="7" t="s">
        <v>33</v>
      </c>
      <c r="D15" s="57">
        <v>0</v>
      </c>
      <c r="E15" s="57">
        <v>0</v>
      </c>
      <c r="F15" s="57">
        <v>1000</v>
      </c>
      <c r="G15" s="57">
        <v>0</v>
      </c>
      <c r="H15" s="57">
        <v>0</v>
      </c>
      <c r="I15" s="57">
        <v>25000</v>
      </c>
      <c r="J15" s="71">
        <v>0</v>
      </c>
      <c r="K15" s="84"/>
      <c r="L15" s="84"/>
      <c r="M15" s="84"/>
      <c r="N15" s="84"/>
      <c r="O15" s="84"/>
      <c r="P15" s="87">
        <f t="shared" si="0"/>
        <v>26000</v>
      </c>
      <c r="Q15" s="132"/>
    </row>
    <row r="16" spans="2:17" x14ac:dyDescent="0.3">
      <c r="B16" s="106"/>
      <c r="C16" s="7" t="s">
        <v>76</v>
      </c>
      <c r="D16" s="57">
        <v>0</v>
      </c>
      <c r="E16" s="57">
        <v>0</v>
      </c>
      <c r="F16" s="57">
        <v>380</v>
      </c>
      <c r="G16" s="57">
        <v>480</v>
      </c>
      <c r="H16" s="57">
        <v>850</v>
      </c>
      <c r="I16" s="57">
        <v>460</v>
      </c>
      <c r="J16" s="71">
        <v>850</v>
      </c>
      <c r="K16" s="84"/>
      <c r="L16" s="84"/>
      <c r="M16" s="84"/>
      <c r="N16" s="84"/>
      <c r="O16" s="84"/>
      <c r="P16" s="87">
        <f t="shared" si="0"/>
        <v>3020</v>
      </c>
      <c r="Q16" s="132"/>
    </row>
    <row r="17" spans="2:17" ht="15" thickBot="1" x14ac:dyDescent="0.35">
      <c r="B17" s="107"/>
      <c r="C17" s="12" t="s">
        <v>16</v>
      </c>
      <c r="D17" s="58">
        <v>0</v>
      </c>
      <c r="E17" s="58">
        <v>0</v>
      </c>
      <c r="F17" s="58">
        <v>0</v>
      </c>
      <c r="G17" s="58">
        <v>0</v>
      </c>
      <c r="H17" s="58">
        <v>320</v>
      </c>
      <c r="I17" s="58">
        <v>0</v>
      </c>
      <c r="J17" s="72">
        <v>0</v>
      </c>
      <c r="K17" s="96"/>
      <c r="L17" s="96"/>
      <c r="M17" s="96"/>
      <c r="N17" s="96"/>
      <c r="O17" s="96"/>
      <c r="P17" s="97">
        <f t="shared" si="0"/>
        <v>320</v>
      </c>
      <c r="Q17" s="133"/>
    </row>
    <row r="18" spans="2:17" x14ac:dyDescent="0.3">
      <c r="B18" s="110" t="s">
        <v>31</v>
      </c>
      <c r="C18" s="19" t="s">
        <v>30</v>
      </c>
      <c r="D18" s="59">
        <v>0</v>
      </c>
      <c r="E18" s="59">
        <v>142704</v>
      </c>
      <c r="F18" s="59">
        <v>0</v>
      </c>
      <c r="G18" s="59">
        <v>0</v>
      </c>
      <c r="H18" s="59">
        <v>5150</v>
      </c>
      <c r="I18" s="59">
        <v>5150</v>
      </c>
      <c r="J18" s="73">
        <v>5150</v>
      </c>
      <c r="K18" s="98"/>
      <c r="L18" s="98"/>
      <c r="M18" s="98"/>
      <c r="N18" s="98"/>
      <c r="O18" s="98"/>
      <c r="P18" s="95">
        <f t="shared" si="0"/>
        <v>158154</v>
      </c>
      <c r="Q18" s="128">
        <f>SUM(P18:P19)</f>
        <v>557090</v>
      </c>
    </row>
    <row r="19" spans="2:17" ht="15" thickBot="1" x14ac:dyDescent="0.35">
      <c r="B19" s="111"/>
      <c r="C19" s="26" t="s">
        <v>77</v>
      </c>
      <c r="D19" s="63">
        <v>18359</v>
      </c>
      <c r="E19" s="63">
        <v>18359</v>
      </c>
      <c r="F19" s="63">
        <v>80859</v>
      </c>
      <c r="G19" s="63">
        <v>80359</v>
      </c>
      <c r="H19" s="63">
        <v>67000</v>
      </c>
      <c r="I19" s="63">
        <v>67000</v>
      </c>
      <c r="J19" s="77">
        <v>67000</v>
      </c>
      <c r="K19" s="99"/>
      <c r="L19" s="99"/>
      <c r="M19" s="99"/>
      <c r="N19" s="99"/>
      <c r="O19" s="99"/>
      <c r="P19" s="97">
        <f t="shared" si="0"/>
        <v>398936</v>
      </c>
      <c r="Q19" s="130"/>
    </row>
    <row r="20" spans="2:17" x14ac:dyDescent="0.3">
      <c r="B20" s="105" t="s">
        <v>78</v>
      </c>
      <c r="C20" s="4" t="s">
        <v>69</v>
      </c>
      <c r="D20" s="53">
        <v>3200</v>
      </c>
      <c r="E20" s="53">
        <v>6180</v>
      </c>
      <c r="F20" s="53">
        <v>18852</v>
      </c>
      <c r="G20" s="53">
        <v>11769</v>
      </c>
      <c r="H20" s="53">
        <v>11000</v>
      </c>
      <c r="I20" s="53">
        <v>0</v>
      </c>
      <c r="J20" s="67">
        <v>2500</v>
      </c>
      <c r="K20" s="94"/>
      <c r="L20" s="94"/>
      <c r="M20" s="94"/>
      <c r="N20" s="94"/>
      <c r="O20" s="94"/>
      <c r="P20" s="95">
        <f t="shared" si="0"/>
        <v>53501</v>
      </c>
      <c r="Q20" s="131">
        <f>SUM(P20:P23)</f>
        <v>183959</v>
      </c>
    </row>
    <row r="21" spans="2:17" x14ac:dyDescent="0.3">
      <c r="B21" s="106"/>
      <c r="C21" s="7" t="s">
        <v>36</v>
      </c>
      <c r="D21" s="55">
        <v>1000</v>
      </c>
      <c r="E21" s="55">
        <v>1000</v>
      </c>
      <c r="F21" s="55">
        <v>1000</v>
      </c>
      <c r="G21" s="55">
        <v>2000</v>
      </c>
      <c r="H21" s="55">
        <v>2000</v>
      </c>
      <c r="I21" s="55">
        <v>2000</v>
      </c>
      <c r="J21" s="69">
        <v>2000</v>
      </c>
      <c r="K21" s="84"/>
      <c r="L21" s="84"/>
      <c r="M21" s="84"/>
      <c r="N21" s="84"/>
      <c r="O21" s="84"/>
      <c r="P21" s="87">
        <f t="shared" si="0"/>
        <v>11000</v>
      </c>
      <c r="Q21" s="132"/>
    </row>
    <row r="22" spans="2:17" x14ac:dyDescent="0.3">
      <c r="B22" s="106"/>
      <c r="C22" s="7" t="s">
        <v>34</v>
      </c>
      <c r="D22" s="54">
        <v>45485</v>
      </c>
      <c r="E22" s="54">
        <v>20000</v>
      </c>
      <c r="F22" s="54">
        <v>0</v>
      </c>
      <c r="G22" s="54">
        <v>0</v>
      </c>
      <c r="H22" s="54">
        <v>0</v>
      </c>
      <c r="I22" s="54">
        <v>0</v>
      </c>
      <c r="J22" s="68">
        <v>36388</v>
      </c>
      <c r="K22" s="84"/>
      <c r="L22" s="84"/>
      <c r="M22" s="84"/>
      <c r="N22" s="84"/>
      <c r="O22" s="84"/>
      <c r="P22" s="87">
        <f t="shared" si="0"/>
        <v>101873</v>
      </c>
      <c r="Q22" s="132"/>
    </row>
    <row r="23" spans="2:17" ht="15" thickBot="1" x14ac:dyDescent="0.35">
      <c r="B23" s="107"/>
      <c r="C23" s="12" t="s">
        <v>35</v>
      </c>
      <c r="D23" s="58">
        <v>0</v>
      </c>
      <c r="E23" s="58">
        <v>6455</v>
      </c>
      <c r="F23" s="58">
        <v>5000</v>
      </c>
      <c r="G23" s="58">
        <v>1130</v>
      </c>
      <c r="H23" s="58">
        <v>5000</v>
      </c>
      <c r="I23" s="58">
        <v>0</v>
      </c>
      <c r="J23" s="72">
        <v>0</v>
      </c>
      <c r="K23" s="96"/>
      <c r="L23" s="96"/>
      <c r="M23" s="96"/>
      <c r="N23" s="96"/>
      <c r="O23" s="96"/>
      <c r="P23" s="97">
        <f t="shared" si="0"/>
        <v>17585</v>
      </c>
      <c r="Q23" s="133"/>
    </row>
    <row r="24" spans="2:17" x14ac:dyDescent="0.3">
      <c r="B24" s="112" t="s">
        <v>37</v>
      </c>
      <c r="C24" s="19" t="s">
        <v>38</v>
      </c>
      <c r="D24" s="61">
        <v>133611</v>
      </c>
      <c r="E24" s="61">
        <v>500</v>
      </c>
      <c r="F24" s="61">
        <v>6650</v>
      </c>
      <c r="G24" s="61">
        <v>900</v>
      </c>
      <c r="H24" s="61">
        <v>3000</v>
      </c>
      <c r="I24" s="61">
        <v>2500</v>
      </c>
      <c r="J24" s="75">
        <v>12000</v>
      </c>
      <c r="K24" s="98"/>
      <c r="L24" s="98"/>
      <c r="M24" s="98"/>
      <c r="N24" s="98"/>
      <c r="O24" s="98"/>
      <c r="P24" s="95">
        <f t="shared" si="0"/>
        <v>159161</v>
      </c>
      <c r="Q24" s="128">
        <f>SUM(P24:P26)</f>
        <v>233128</v>
      </c>
    </row>
    <row r="25" spans="2:17" x14ac:dyDescent="0.3">
      <c r="B25" s="113"/>
      <c r="C25" s="22" t="s">
        <v>79</v>
      </c>
      <c r="D25" s="62">
        <v>0</v>
      </c>
      <c r="E25" s="62">
        <v>7500</v>
      </c>
      <c r="F25" s="62">
        <v>2500</v>
      </c>
      <c r="G25" s="62">
        <v>2500</v>
      </c>
      <c r="H25" s="62">
        <v>2000</v>
      </c>
      <c r="I25" s="62">
        <v>2000</v>
      </c>
      <c r="J25" s="76">
        <v>3000</v>
      </c>
      <c r="K25" s="85"/>
      <c r="L25" s="85"/>
      <c r="M25" s="85"/>
      <c r="N25" s="85"/>
      <c r="O25" s="85"/>
      <c r="P25" s="87">
        <f t="shared" si="0"/>
        <v>19500</v>
      </c>
      <c r="Q25" s="129"/>
    </row>
    <row r="26" spans="2:17" ht="15" thickBot="1" x14ac:dyDescent="0.35">
      <c r="B26" s="114"/>
      <c r="C26" s="30" t="s">
        <v>39</v>
      </c>
      <c r="D26" s="63">
        <v>3776</v>
      </c>
      <c r="E26" s="63">
        <v>36379</v>
      </c>
      <c r="F26" s="63">
        <v>7120</v>
      </c>
      <c r="G26" s="63">
        <v>712</v>
      </c>
      <c r="H26" s="63">
        <v>2480</v>
      </c>
      <c r="I26" s="63">
        <v>1500</v>
      </c>
      <c r="J26" s="77">
        <v>2500</v>
      </c>
      <c r="K26" s="99"/>
      <c r="L26" s="99"/>
      <c r="M26" s="99"/>
      <c r="N26" s="99"/>
      <c r="O26" s="99"/>
      <c r="P26" s="97">
        <f t="shared" si="0"/>
        <v>54467</v>
      </c>
      <c r="Q26" s="130"/>
    </row>
    <row r="27" spans="2:17" x14ac:dyDescent="0.3">
      <c r="B27" s="105" t="s">
        <v>40</v>
      </c>
      <c r="C27" s="4" t="s">
        <v>41</v>
      </c>
      <c r="D27" s="66">
        <v>0</v>
      </c>
      <c r="E27" s="66">
        <v>5369</v>
      </c>
      <c r="F27" s="66">
        <v>3000</v>
      </c>
      <c r="G27" s="66">
        <v>11324</v>
      </c>
      <c r="H27" s="66">
        <v>7800</v>
      </c>
      <c r="I27" s="66">
        <v>10000</v>
      </c>
      <c r="J27" s="80">
        <v>15000</v>
      </c>
      <c r="K27" s="94"/>
      <c r="L27" s="94"/>
      <c r="M27" s="94"/>
      <c r="N27" s="94"/>
      <c r="O27" s="94"/>
      <c r="P27" s="95">
        <f t="shared" si="0"/>
        <v>52493</v>
      </c>
      <c r="Q27" s="131">
        <f>SUM(P27:P36)</f>
        <v>335722</v>
      </c>
    </row>
    <row r="28" spans="2:17" x14ac:dyDescent="0.3">
      <c r="B28" s="106"/>
      <c r="C28" s="7" t="s">
        <v>42</v>
      </c>
      <c r="D28" s="54">
        <v>11646</v>
      </c>
      <c r="E28" s="54">
        <v>13193</v>
      </c>
      <c r="F28" s="54">
        <v>9108</v>
      </c>
      <c r="G28" s="54">
        <v>20054</v>
      </c>
      <c r="H28" s="54">
        <v>15600</v>
      </c>
      <c r="I28" s="54">
        <v>12000</v>
      </c>
      <c r="J28" s="68">
        <v>18000</v>
      </c>
      <c r="K28" s="84"/>
      <c r="L28" s="84"/>
      <c r="M28" s="84"/>
      <c r="N28" s="84"/>
      <c r="O28" s="84"/>
      <c r="P28" s="87">
        <f t="shared" si="0"/>
        <v>99601</v>
      </c>
      <c r="Q28" s="132"/>
    </row>
    <row r="29" spans="2:17" x14ac:dyDescent="0.3">
      <c r="B29" s="106"/>
      <c r="C29" s="7" t="s">
        <v>80</v>
      </c>
      <c r="D29" s="54">
        <v>0</v>
      </c>
      <c r="E29" s="54">
        <v>0</v>
      </c>
      <c r="F29" s="54">
        <v>6018</v>
      </c>
      <c r="G29" s="54">
        <v>4055</v>
      </c>
      <c r="H29" s="54">
        <v>0</v>
      </c>
      <c r="I29" s="54">
        <v>1500</v>
      </c>
      <c r="J29" s="68">
        <v>2300</v>
      </c>
      <c r="K29" s="84"/>
      <c r="L29" s="84"/>
      <c r="M29" s="84"/>
      <c r="N29" s="84"/>
      <c r="O29" s="84"/>
      <c r="P29" s="87">
        <f t="shared" si="0"/>
        <v>13873</v>
      </c>
      <c r="Q29" s="132"/>
    </row>
    <row r="30" spans="2:17" x14ac:dyDescent="0.3">
      <c r="B30" s="106"/>
      <c r="C30" s="7" t="s">
        <v>65</v>
      </c>
      <c r="D30" s="54">
        <v>7000</v>
      </c>
      <c r="E30" s="54">
        <v>0</v>
      </c>
      <c r="F30" s="54">
        <v>0</v>
      </c>
      <c r="G30" s="54">
        <v>0</v>
      </c>
      <c r="H30" s="54">
        <v>0</v>
      </c>
      <c r="I30" s="54">
        <v>0</v>
      </c>
      <c r="J30" s="68">
        <v>0</v>
      </c>
      <c r="K30" s="84"/>
      <c r="L30" s="84"/>
      <c r="M30" s="84"/>
      <c r="N30" s="84"/>
      <c r="O30" s="84"/>
      <c r="P30" s="87">
        <f t="shared" si="0"/>
        <v>7000</v>
      </c>
      <c r="Q30" s="132"/>
    </row>
    <row r="31" spans="2:17" x14ac:dyDescent="0.3">
      <c r="B31" s="106"/>
      <c r="C31" s="16" t="s">
        <v>81</v>
      </c>
      <c r="D31" s="55">
        <v>913</v>
      </c>
      <c r="E31" s="55">
        <v>2646</v>
      </c>
      <c r="F31" s="55">
        <v>913</v>
      </c>
      <c r="G31" s="55">
        <v>3410</v>
      </c>
      <c r="H31" s="55">
        <v>3400</v>
      </c>
      <c r="I31" s="55">
        <v>3400</v>
      </c>
      <c r="J31" s="69">
        <v>2500</v>
      </c>
      <c r="K31" s="84"/>
      <c r="L31" s="84"/>
      <c r="M31" s="84"/>
      <c r="N31" s="84"/>
      <c r="O31" s="84"/>
      <c r="P31" s="87">
        <f t="shared" si="0"/>
        <v>17182</v>
      </c>
      <c r="Q31" s="132"/>
    </row>
    <row r="32" spans="2:17" x14ac:dyDescent="0.3">
      <c r="B32" s="106"/>
      <c r="C32" s="16" t="s">
        <v>82</v>
      </c>
      <c r="D32" s="55">
        <v>0</v>
      </c>
      <c r="E32" s="55">
        <v>0</v>
      </c>
      <c r="F32" s="55">
        <v>900</v>
      </c>
      <c r="G32" s="55">
        <v>0</v>
      </c>
      <c r="H32" s="55">
        <v>3150</v>
      </c>
      <c r="I32" s="55">
        <v>4500</v>
      </c>
      <c r="J32" s="69">
        <v>1890</v>
      </c>
      <c r="K32" s="84"/>
      <c r="L32" s="84"/>
      <c r="M32" s="84"/>
      <c r="N32" s="84"/>
      <c r="O32" s="84"/>
      <c r="P32" s="87">
        <f t="shared" si="0"/>
        <v>10440</v>
      </c>
      <c r="Q32" s="132"/>
    </row>
    <row r="33" spans="2:17" x14ac:dyDescent="0.3">
      <c r="B33" s="106"/>
      <c r="C33" s="7" t="s">
        <v>66</v>
      </c>
      <c r="D33" s="55">
        <v>598</v>
      </c>
      <c r="E33" s="55">
        <v>0</v>
      </c>
      <c r="F33" s="55">
        <v>0</v>
      </c>
      <c r="G33" s="55">
        <v>0</v>
      </c>
      <c r="H33" s="55">
        <v>0</v>
      </c>
      <c r="I33" s="55">
        <v>0</v>
      </c>
      <c r="J33" s="69">
        <v>2000</v>
      </c>
      <c r="K33" s="84"/>
      <c r="L33" s="84"/>
      <c r="M33" s="84"/>
      <c r="N33" s="84"/>
      <c r="O33" s="84"/>
      <c r="P33" s="87">
        <f t="shared" si="0"/>
        <v>2598</v>
      </c>
      <c r="Q33" s="132"/>
    </row>
    <row r="34" spans="2:17" x14ac:dyDescent="0.3">
      <c r="B34" s="106"/>
      <c r="C34" s="7" t="s">
        <v>64</v>
      </c>
      <c r="D34" s="55">
        <v>600</v>
      </c>
      <c r="E34" s="55">
        <v>600</v>
      </c>
      <c r="F34" s="55">
        <v>600</v>
      </c>
      <c r="G34" s="55">
        <v>0</v>
      </c>
      <c r="H34" s="55">
        <v>0</v>
      </c>
      <c r="I34" s="55">
        <v>0</v>
      </c>
      <c r="J34" s="69">
        <v>1500</v>
      </c>
      <c r="K34" s="84"/>
      <c r="L34" s="84"/>
      <c r="M34" s="84"/>
      <c r="N34" s="84"/>
      <c r="O34" s="84"/>
      <c r="P34" s="87">
        <f t="shared" si="0"/>
        <v>3300</v>
      </c>
      <c r="Q34" s="132"/>
    </row>
    <row r="35" spans="2:17" x14ac:dyDescent="0.3">
      <c r="B35" s="106"/>
      <c r="C35" s="7" t="s">
        <v>63</v>
      </c>
      <c r="D35" s="56">
        <v>26212</v>
      </c>
      <c r="E35" s="56">
        <v>2291</v>
      </c>
      <c r="F35" s="56">
        <v>16793</v>
      </c>
      <c r="G35" s="56">
        <v>1245</v>
      </c>
      <c r="H35" s="56">
        <v>15360</v>
      </c>
      <c r="I35" s="56">
        <v>18560</v>
      </c>
      <c r="J35" s="70">
        <v>20000</v>
      </c>
      <c r="K35" s="84"/>
      <c r="L35" s="84"/>
      <c r="M35" s="84"/>
      <c r="N35" s="84"/>
      <c r="O35" s="84"/>
      <c r="P35" s="87">
        <f t="shared" si="0"/>
        <v>100461</v>
      </c>
      <c r="Q35" s="132"/>
    </row>
    <row r="36" spans="2:17" ht="15" thickBot="1" x14ac:dyDescent="0.35">
      <c r="B36" s="107"/>
      <c r="C36" s="12" t="s">
        <v>44</v>
      </c>
      <c r="D36" s="58">
        <v>0</v>
      </c>
      <c r="E36" s="58">
        <v>8210</v>
      </c>
      <c r="F36" s="58">
        <v>2573</v>
      </c>
      <c r="G36" s="58">
        <v>6531</v>
      </c>
      <c r="H36" s="58">
        <v>0</v>
      </c>
      <c r="I36" s="58">
        <v>6000</v>
      </c>
      <c r="J36" s="72">
        <v>5460</v>
      </c>
      <c r="K36" s="96"/>
      <c r="L36" s="96"/>
      <c r="M36" s="96"/>
      <c r="N36" s="96"/>
      <c r="O36" s="96"/>
      <c r="P36" s="97">
        <f t="shared" si="0"/>
        <v>28774</v>
      </c>
      <c r="Q36" s="133"/>
    </row>
    <row r="37" spans="2:17" x14ac:dyDescent="0.3">
      <c r="B37" s="112" t="s">
        <v>45</v>
      </c>
      <c r="C37" s="19" t="s">
        <v>46</v>
      </c>
      <c r="D37" s="100">
        <v>0</v>
      </c>
      <c r="E37" s="100">
        <v>0</v>
      </c>
      <c r="F37" s="100">
        <v>0</v>
      </c>
      <c r="G37" s="100">
        <v>0</v>
      </c>
      <c r="H37" s="100">
        <v>0</v>
      </c>
      <c r="I37" s="100">
        <v>0</v>
      </c>
      <c r="J37" s="101">
        <v>0</v>
      </c>
      <c r="K37" s="98"/>
      <c r="L37" s="98"/>
      <c r="M37" s="98"/>
      <c r="N37" s="98"/>
      <c r="O37" s="98"/>
      <c r="P37" s="95">
        <f t="shared" si="0"/>
        <v>0</v>
      </c>
      <c r="Q37" s="128">
        <f>SUM(P37:P40)</f>
        <v>6000</v>
      </c>
    </row>
    <row r="38" spans="2:17" x14ac:dyDescent="0.3">
      <c r="B38" s="113"/>
      <c r="C38" s="22" t="s">
        <v>83</v>
      </c>
      <c r="D38" s="60">
        <v>0</v>
      </c>
      <c r="E38" s="60">
        <v>0</v>
      </c>
      <c r="F38" s="60">
        <v>0</v>
      </c>
      <c r="G38" s="60">
        <v>0</v>
      </c>
      <c r="H38" s="60">
        <v>0</v>
      </c>
      <c r="I38" s="60">
        <v>0</v>
      </c>
      <c r="J38" s="74">
        <v>0</v>
      </c>
      <c r="K38" s="85"/>
      <c r="L38" s="85"/>
      <c r="M38" s="85"/>
      <c r="N38" s="85"/>
      <c r="O38" s="85"/>
      <c r="P38" s="87">
        <f t="shared" si="0"/>
        <v>0</v>
      </c>
      <c r="Q38" s="129"/>
    </row>
    <row r="39" spans="2:17" x14ac:dyDescent="0.3">
      <c r="B39" s="113"/>
      <c r="C39" s="22" t="s">
        <v>48</v>
      </c>
      <c r="D39" s="64">
        <v>0</v>
      </c>
      <c r="E39" s="64">
        <v>0</v>
      </c>
      <c r="F39" s="64">
        <v>0</v>
      </c>
      <c r="G39" s="64">
        <v>0</v>
      </c>
      <c r="H39" s="64">
        <v>2000</v>
      </c>
      <c r="I39" s="64">
        <v>2000</v>
      </c>
      <c r="J39" s="78">
        <v>2000</v>
      </c>
      <c r="K39" s="85"/>
      <c r="L39" s="85"/>
      <c r="M39" s="85"/>
      <c r="N39" s="85"/>
      <c r="O39" s="85"/>
      <c r="P39" s="87">
        <f t="shared" si="0"/>
        <v>6000</v>
      </c>
      <c r="Q39" s="129"/>
    </row>
    <row r="40" spans="2:17" ht="15" thickBot="1" x14ac:dyDescent="0.35">
      <c r="B40" s="114"/>
      <c r="C40" s="26" t="s">
        <v>47</v>
      </c>
      <c r="D40" s="65">
        <v>0</v>
      </c>
      <c r="E40" s="65">
        <v>0</v>
      </c>
      <c r="F40" s="65">
        <v>0</v>
      </c>
      <c r="G40" s="65">
        <v>0</v>
      </c>
      <c r="H40" s="65">
        <v>0</v>
      </c>
      <c r="I40" s="65">
        <v>0</v>
      </c>
      <c r="J40" s="79">
        <v>0</v>
      </c>
      <c r="K40" s="99"/>
      <c r="L40" s="99"/>
      <c r="M40" s="99"/>
      <c r="N40" s="99"/>
      <c r="O40" s="99"/>
      <c r="P40" s="97">
        <f t="shared" si="0"/>
        <v>0</v>
      </c>
      <c r="Q40" s="130"/>
    </row>
    <row r="41" spans="2:17" x14ac:dyDescent="0.3">
      <c r="B41" s="134" t="s">
        <v>52</v>
      </c>
      <c r="C41" s="4" t="s">
        <v>53</v>
      </c>
      <c r="D41" s="66">
        <v>500</v>
      </c>
      <c r="E41" s="66">
        <v>0</v>
      </c>
      <c r="F41" s="66">
        <v>500</v>
      </c>
      <c r="G41" s="66">
        <v>0</v>
      </c>
      <c r="H41" s="66">
        <v>0</v>
      </c>
      <c r="I41" s="66">
        <v>0</v>
      </c>
      <c r="J41" s="80">
        <v>0</v>
      </c>
      <c r="K41" s="94"/>
      <c r="L41" s="94"/>
      <c r="M41" s="94"/>
      <c r="N41" s="94"/>
      <c r="O41" s="94"/>
      <c r="P41" s="95">
        <f t="shared" si="0"/>
        <v>1000</v>
      </c>
      <c r="Q41" s="131">
        <f>SUM(P41:P44)</f>
        <v>72487</v>
      </c>
    </row>
    <row r="42" spans="2:17" x14ac:dyDescent="0.3">
      <c r="B42" s="135"/>
      <c r="C42" s="7" t="s">
        <v>54</v>
      </c>
      <c r="D42" s="55">
        <v>600</v>
      </c>
      <c r="E42" s="55">
        <v>0</v>
      </c>
      <c r="F42" s="55">
        <v>983</v>
      </c>
      <c r="G42" s="55">
        <v>2500</v>
      </c>
      <c r="H42" s="55">
        <v>0</v>
      </c>
      <c r="I42" s="55">
        <v>0</v>
      </c>
      <c r="J42" s="69">
        <v>0</v>
      </c>
      <c r="K42" s="84"/>
      <c r="L42" s="84"/>
      <c r="M42" s="84"/>
      <c r="N42" s="84"/>
      <c r="O42" s="84"/>
      <c r="P42" s="87">
        <f t="shared" si="0"/>
        <v>4083</v>
      </c>
      <c r="Q42" s="132"/>
    </row>
    <row r="43" spans="2:17" x14ac:dyDescent="0.3">
      <c r="B43" s="135"/>
      <c r="C43" s="7" t="s">
        <v>55</v>
      </c>
      <c r="D43" s="56">
        <v>11850</v>
      </c>
      <c r="E43" s="56">
        <v>0</v>
      </c>
      <c r="F43" s="56">
        <v>530</v>
      </c>
      <c r="G43" s="56">
        <v>24998</v>
      </c>
      <c r="H43" s="56">
        <v>9800</v>
      </c>
      <c r="I43" s="56">
        <v>0</v>
      </c>
      <c r="J43" s="70">
        <v>12500</v>
      </c>
      <c r="K43" s="84"/>
      <c r="L43" s="84"/>
      <c r="M43" s="84"/>
      <c r="N43" s="84"/>
      <c r="O43" s="84"/>
      <c r="P43" s="87">
        <f t="shared" si="0"/>
        <v>59678</v>
      </c>
      <c r="Q43" s="132"/>
    </row>
    <row r="44" spans="2:17" ht="15" thickBot="1" x14ac:dyDescent="0.35">
      <c r="B44" s="136"/>
      <c r="C44" s="12" t="s">
        <v>84</v>
      </c>
      <c r="D44" s="58">
        <v>0</v>
      </c>
      <c r="E44" s="58">
        <v>0</v>
      </c>
      <c r="F44" s="58">
        <v>5990</v>
      </c>
      <c r="G44" s="58">
        <v>0</v>
      </c>
      <c r="H44" s="58">
        <v>1736</v>
      </c>
      <c r="I44" s="58">
        <v>0</v>
      </c>
      <c r="J44" s="72">
        <v>0</v>
      </c>
      <c r="K44" s="96"/>
      <c r="L44" s="96"/>
      <c r="M44" s="96"/>
      <c r="N44" s="96"/>
      <c r="O44" s="96"/>
      <c r="P44" s="97">
        <f t="shared" si="0"/>
        <v>7726</v>
      </c>
      <c r="Q44" s="133"/>
    </row>
    <row r="45" spans="2:17" ht="18" thickBot="1" x14ac:dyDescent="0.35">
      <c r="B45" s="115" t="s">
        <v>57</v>
      </c>
      <c r="C45" s="116"/>
      <c r="D45" s="88">
        <f>SUM(D3:D44)</f>
        <v>373767</v>
      </c>
      <c r="E45" s="88">
        <f t="shared" ref="E45:O45" si="1">SUM(E3:E44)</f>
        <v>308577</v>
      </c>
      <c r="F45" s="88">
        <f t="shared" si="1"/>
        <v>235263</v>
      </c>
      <c r="G45" s="88">
        <f t="shared" si="1"/>
        <v>223254</v>
      </c>
      <c r="H45" s="88">
        <f t="shared" si="1"/>
        <v>190875</v>
      </c>
      <c r="I45" s="88">
        <f t="shared" si="1"/>
        <v>209632</v>
      </c>
      <c r="J45" s="89">
        <f t="shared" si="1"/>
        <v>303580</v>
      </c>
      <c r="K45" s="90">
        <f t="shared" si="1"/>
        <v>0</v>
      </c>
      <c r="L45" s="90">
        <f t="shared" si="1"/>
        <v>0</v>
      </c>
      <c r="M45" s="90">
        <f t="shared" si="1"/>
        <v>0</v>
      </c>
      <c r="N45" s="90">
        <f t="shared" si="1"/>
        <v>0</v>
      </c>
      <c r="O45" s="90">
        <f t="shared" si="1"/>
        <v>0</v>
      </c>
      <c r="P45" s="91">
        <f>SUM(P3:P44)</f>
        <v>1844948</v>
      </c>
      <c r="Q45" s="92">
        <f>SUM(Q3:Q44)</f>
        <v>1844948</v>
      </c>
    </row>
  </sheetData>
  <mergeCells count="15">
    <mergeCell ref="B45:C45"/>
    <mergeCell ref="B41:B44"/>
    <mergeCell ref="B3:B17"/>
    <mergeCell ref="B18:B19"/>
    <mergeCell ref="B20:B23"/>
    <mergeCell ref="B24:B26"/>
    <mergeCell ref="B27:B36"/>
    <mergeCell ref="B37:B40"/>
    <mergeCell ref="Q37:Q40"/>
    <mergeCell ref="Q41:Q44"/>
    <mergeCell ref="Q3:Q17"/>
    <mergeCell ref="Q18:Q19"/>
    <mergeCell ref="Q20:Q23"/>
    <mergeCell ref="Q24:Q26"/>
    <mergeCell ref="Q27:Q36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2098B-8146-4269-843A-548C70D34524}">
  <dimension ref="B1:I48"/>
  <sheetViews>
    <sheetView topLeftCell="B26" zoomScale="81" zoomScaleNormal="81" workbookViewId="0">
      <selection activeCell="I3" sqref="I3:I15"/>
    </sheetView>
  </sheetViews>
  <sheetFormatPr defaultRowHeight="14.4" x14ac:dyDescent="0.3"/>
  <cols>
    <col min="2" max="2" width="37" bestFit="1" customWidth="1"/>
    <col min="3" max="3" width="65" bestFit="1" customWidth="1"/>
    <col min="8" max="8" width="16.6640625" bestFit="1" customWidth="1"/>
    <col min="9" max="9" width="46.5546875" customWidth="1"/>
  </cols>
  <sheetData>
    <row r="1" spans="2:9" ht="15" thickBot="1" x14ac:dyDescent="0.35"/>
    <row r="2" spans="2:9" ht="18.600000000000001" thickBot="1" x14ac:dyDescent="0.35">
      <c r="B2" s="1" t="s">
        <v>12</v>
      </c>
      <c r="C2" s="2" t="s">
        <v>56</v>
      </c>
      <c r="D2" s="2">
        <v>2022</v>
      </c>
      <c r="E2" s="2">
        <v>2023</v>
      </c>
      <c r="F2" s="2">
        <v>2024</v>
      </c>
      <c r="G2" s="2">
        <v>2025</v>
      </c>
      <c r="H2" s="2" t="s">
        <v>62</v>
      </c>
      <c r="I2" s="3" t="s">
        <v>61</v>
      </c>
    </row>
    <row r="3" spans="2:9" x14ac:dyDescent="0.3">
      <c r="B3" s="105" t="s">
        <v>13</v>
      </c>
      <c r="C3" s="4" t="s">
        <v>20</v>
      </c>
      <c r="D3" s="6">
        <v>10485</v>
      </c>
      <c r="E3" s="6">
        <v>39742</v>
      </c>
      <c r="F3" s="6">
        <v>39743</v>
      </c>
      <c r="G3" s="6">
        <f>'2025'!P3</f>
        <v>70625</v>
      </c>
      <c r="H3" s="6">
        <f t="shared" ref="H3:H47" si="0">SUM(D3:G3)</f>
        <v>160595</v>
      </c>
      <c r="I3" s="117">
        <f>SUM(H3:H15)</f>
        <v>1647336</v>
      </c>
    </row>
    <row r="4" spans="2:9" x14ac:dyDescent="0.3">
      <c r="B4" s="106"/>
      <c r="C4" s="7" t="s">
        <v>15</v>
      </c>
      <c r="D4" s="9">
        <v>2400</v>
      </c>
      <c r="E4" s="9">
        <v>11268</v>
      </c>
      <c r="F4" s="9">
        <v>10150</v>
      </c>
      <c r="G4" s="9">
        <f>'2025'!P4</f>
        <v>8810</v>
      </c>
      <c r="H4" s="9">
        <f t="shared" si="0"/>
        <v>32628</v>
      </c>
      <c r="I4" s="118"/>
    </row>
    <row r="5" spans="2:9" x14ac:dyDescent="0.3">
      <c r="B5" s="106"/>
      <c r="C5" s="7" t="s">
        <v>18</v>
      </c>
      <c r="D5" s="9">
        <v>1500</v>
      </c>
      <c r="E5" s="9">
        <v>10380</v>
      </c>
      <c r="F5" s="9">
        <v>31400</v>
      </c>
      <c r="G5" s="9">
        <f>'2025'!P5</f>
        <v>34420</v>
      </c>
      <c r="H5" s="9">
        <f t="shared" si="0"/>
        <v>77700</v>
      </c>
      <c r="I5" s="118"/>
    </row>
    <row r="6" spans="2:9" x14ac:dyDescent="0.3">
      <c r="B6" s="106"/>
      <c r="C6" s="7" t="s">
        <v>17</v>
      </c>
      <c r="D6" s="9">
        <v>2112</v>
      </c>
      <c r="E6" s="9">
        <v>13892</v>
      </c>
      <c r="F6" s="9">
        <v>14096</v>
      </c>
      <c r="G6" s="9">
        <f>'2025'!P6</f>
        <v>11232</v>
      </c>
      <c r="H6" s="9">
        <f t="shared" si="0"/>
        <v>41332</v>
      </c>
      <c r="I6" s="118"/>
    </row>
    <row r="7" spans="2:9" x14ac:dyDescent="0.3">
      <c r="B7" s="106"/>
      <c r="C7" s="7" t="s">
        <v>19</v>
      </c>
      <c r="D7" s="9">
        <v>1800</v>
      </c>
      <c r="E7" s="9">
        <v>22001</v>
      </c>
      <c r="F7" s="9">
        <v>33797</v>
      </c>
      <c r="G7" s="9">
        <f>'2025'!P7</f>
        <v>55537</v>
      </c>
      <c r="H7" s="9">
        <f t="shared" si="0"/>
        <v>113135</v>
      </c>
      <c r="I7" s="118"/>
    </row>
    <row r="8" spans="2:9" x14ac:dyDescent="0.3">
      <c r="B8" s="106"/>
      <c r="C8" s="7" t="s">
        <v>26</v>
      </c>
      <c r="D8" s="9">
        <v>0</v>
      </c>
      <c r="E8" s="9">
        <v>0</v>
      </c>
      <c r="F8" s="9">
        <v>27750</v>
      </c>
      <c r="G8" s="9">
        <f>'2025'!P8</f>
        <v>53400</v>
      </c>
      <c r="H8" s="9">
        <f t="shared" si="0"/>
        <v>81150</v>
      </c>
      <c r="I8" s="118"/>
    </row>
    <row r="9" spans="2:9" x14ac:dyDescent="0.3">
      <c r="B9" s="106"/>
      <c r="C9" s="7" t="s">
        <v>21</v>
      </c>
      <c r="D9" s="9">
        <v>0</v>
      </c>
      <c r="E9" s="9">
        <v>7200</v>
      </c>
      <c r="F9" s="9">
        <v>7200</v>
      </c>
      <c r="G9" s="9">
        <f>'2025'!P9</f>
        <v>7200</v>
      </c>
      <c r="H9" s="9">
        <f t="shared" si="0"/>
        <v>21600</v>
      </c>
      <c r="I9" s="118"/>
    </row>
    <row r="10" spans="2:9" x14ac:dyDescent="0.3">
      <c r="B10" s="106"/>
      <c r="C10" s="7" t="s">
        <v>24</v>
      </c>
      <c r="D10" s="9">
        <v>56780</v>
      </c>
      <c r="E10" s="9">
        <v>160740</v>
      </c>
      <c r="F10" s="9">
        <v>174632</v>
      </c>
      <c r="G10" s="9">
        <f>'2025'!P10</f>
        <v>165691</v>
      </c>
      <c r="H10" s="9">
        <f t="shared" si="0"/>
        <v>557843</v>
      </c>
      <c r="I10" s="118"/>
    </row>
    <row r="11" spans="2:9" x14ac:dyDescent="0.3">
      <c r="B11" s="106"/>
      <c r="C11" s="7" t="s">
        <v>22</v>
      </c>
      <c r="D11" s="9">
        <v>1954</v>
      </c>
      <c r="E11" s="9">
        <v>5918</v>
      </c>
      <c r="F11" s="9">
        <v>43616</v>
      </c>
      <c r="G11" s="9">
        <f>'2025'!P11</f>
        <v>34151</v>
      </c>
      <c r="H11" s="9">
        <f t="shared" si="0"/>
        <v>85639</v>
      </c>
      <c r="I11" s="118"/>
    </row>
    <row r="12" spans="2:9" x14ac:dyDescent="0.3">
      <c r="B12" s="106"/>
      <c r="C12" s="7" t="s">
        <v>23</v>
      </c>
      <c r="D12" s="9">
        <v>0</v>
      </c>
      <c r="E12" s="9">
        <v>0</v>
      </c>
      <c r="F12" s="9">
        <v>21396</v>
      </c>
      <c r="G12" s="9">
        <f>'2025'!P12</f>
        <v>6878</v>
      </c>
      <c r="H12" s="9">
        <f t="shared" si="0"/>
        <v>28274</v>
      </c>
      <c r="I12" s="118"/>
    </row>
    <row r="13" spans="2:9" x14ac:dyDescent="0.3">
      <c r="B13" s="106"/>
      <c r="C13" s="7" t="s">
        <v>14</v>
      </c>
      <c r="D13" s="9">
        <v>30000</v>
      </c>
      <c r="E13" s="9">
        <v>95500</v>
      </c>
      <c r="F13" s="9">
        <v>100000</v>
      </c>
      <c r="G13" s="9">
        <f>'2025'!P13</f>
        <v>102000</v>
      </c>
      <c r="H13" s="9">
        <f t="shared" si="0"/>
        <v>327500</v>
      </c>
      <c r="I13" s="118"/>
    </row>
    <row r="14" spans="2:9" x14ac:dyDescent="0.3">
      <c r="B14" s="106"/>
      <c r="C14" s="7" t="s">
        <v>25</v>
      </c>
      <c r="D14" s="9">
        <v>10800</v>
      </c>
      <c r="E14" s="9">
        <v>32040</v>
      </c>
      <c r="F14" s="9">
        <v>32040</v>
      </c>
      <c r="G14" s="9">
        <f>'2025'!P14</f>
        <v>41793</v>
      </c>
      <c r="H14" s="9">
        <f t="shared" si="0"/>
        <v>116673</v>
      </c>
      <c r="I14" s="118"/>
    </row>
    <row r="15" spans="2:9" ht="15" thickBot="1" x14ac:dyDescent="0.35">
      <c r="B15" s="107"/>
      <c r="C15" s="12" t="s">
        <v>16</v>
      </c>
      <c r="D15" s="14">
        <v>0</v>
      </c>
      <c r="E15" s="14">
        <v>698</v>
      </c>
      <c r="F15" s="14">
        <v>976</v>
      </c>
      <c r="G15" s="14">
        <f>'2025'!P15</f>
        <v>1593</v>
      </c>
      <c r="H15" s="14">
        <f t="shared" si="0"/>
        <v>3267</v>
      </c>
      <c r="I15" s="119"/>
    </row>
    <row r="16" spans="2:9" x14ac:dyDescent="0.3">
      <c r="B16" s="110" t="s">
        <v>31</v>
      </c>
      <c r="C16" s="19" t="s">
        <v>30</v>
      </c>
      <c r="D16" s="21">
        <v>39680</v>
      </c>
      <c r="E16" s="21">
        <v>222927</v>
      </c>
      <c r="F16" s="21">
        <v>478947</v>
      </c>
      <c r="G16" s="21">
        <f>'2025'!P16</f>
        <v>231621</v>
      </c>
      <c r="H16" s="21">
        <f t="shared" si="0"/>
        <v>973175</v>
      </c>
      <c r="I16" s="120">
        <f>SUM(H16:H20)</f>
        <v>4536242</v>
      </c>
    </row>
    <row r="17" spans="2:9" x14ac:dyDescent="0.3">
      <c r="B17" s="123"/>
      <c r="C17" s="22" t="s">
        <v>29</v>
      </c>
      <c r="D17" s="24">
        <v>0</v>
      </c>
      <c r="E17" s="24">
        <v>381628</v>
      </c>
      <c r="F17" s="24">
        <v>341389</v>
      </c>
      <c r="G17" s="24">
        <f>'2025'!P17</f>
        <v>0</v>
      </c>
      <c r="H17" s="24">
        <f t="shared" si="0"/>
        <v>723017</v>
      </c>
      <c r="I17" s="121"/>
    </row>
    <row r="18" spans="2:9" x14ac:dyDescent="0.3">
      <c r="B18" s="123"/>
      <c r="C18" s="22" t="s">
        <v>27</v>
      </c>
      <c r="D18" s="24">
        <v>78000</v>
      </c>
      <c r="E18" s="24">
        <v>251000</v>
      </c>
      <c r="F18" s="24">
        <v>247800</v>
      </c>
      <c r="G18" s="24">
        <f>'2025'!P18</f>
        <v>1099866</v>
      </c>
      <c r="H18" s="24">
        <f t="shared" si="0"/>
        <v>1676666</v>
      </c>
      <c r="I18" s="121"/>
    </row>
    <row r="19" spans="2:9" x14ac:dyDescent="0.3">
      <c r="B19" s="123"/>
      <c r="C19" s="22" t="s">
        <v>70</v>
      </c>
      <c r="D19" s="24">
        <v>175315</v>
      </c>
      <c r="E19" s="24">
        <v>502140</v>
      </c>
      <c r="F19" s="24">
        <v>81129</v>
      </c>
      <c r="G19" s="24">
        <f>'2025'!P19</f>
        <v>80800</v>
      </c>
      <c r="H19" s="24">
        <f t="shared" si="0"/>
        <v>839384</v>
      </c>
      <c r="I19" s="121"/>
    </row>
    <row r="20" spans="2:9" ht="15" thickBot="1" x14ac:dyDescent="0.35">
      <c r="B20" s="111"/>
      <c r="C20" s="26" t="s">
        <v>28</v>
      </c>
      <c r="D20" s="28">
        <v>0</v>
      </c>
      <c r="E20" s="28">
        <v>135000</v>
      </c>
      <c r="F20" s="28">
        <v>189000</v>
      </c>
      <c r="G20" s="28">
        <f>'2025'!P20</f>
        <v>0</v>
      </c>
      <c r="H20" s="28">
        <f t="shared" si="0"/>
        <v>324000</v>
      </c>
      <c r="I20" s="122"/>
    </row>
    <row r="21" spans="2:9" x14ac:dyDescent="0.3">
      <c r="B21" s="105" t="s">
        <v>32</v>
      </c>
      <c r="C21" s="4" t="s">
        <v>69</v>
      </c>
      <c r="D21" s="6">
        <v>0</v>
      </c>
      <c r="E21" s="6">
        <v>4775</v>
      </c>
      <c r="F21" s="6">
        <v>4555</v>
      </c>
      <c r="G21" s="6">
        <f>'2025'!P21</f>
        <v>5231</v>
      </c>
      <c r="H21" s="6">
        <f t="shared" si="0"/>
        <v>14561</v>
      </c>
      <c r="I21" s="117">
        <f>SUM(H21:H25)</f>
        <v>652246</v>
      </c>
    </row>
    <row r="22" spans="2:9" x14ac:dyDescent="0.3">
      <c r="B22" s="106"/>
      <c r="C22" s="7" t="s">
        <v>33</v>
      </c>
      <c r="D22" s="9">
        <v>28000</v>
      </c>
      <c r="E22" s="9">
        <v>15000</v>
      </c>
      <c r="F22" s="9">
        <v>105500</v>
      </c>
      <c r="G22" s="9">
        <f>'2025'!P22</f>
        <v>90000</v>
      </c>
      <c r="H22" s="9">
        <f t="shared" si="0"/>
        <v>238500</v>
      </c>
      <c r="I22" s="118"/>
    </row>
    <row r="23" spans="2:9" x14ac:dyDescent="0.3">
      <c r="B23" s="106"/>
      <c r="C23" s="7" t="s">
        <v>36</v>
      </c>
      <c r="D23" s="9">
        <v>4330</v>
      </c>
      <c r="E23" s="9">
        <v>10580</v>
      </c>
      <c r="F23" s="9">
        <v>13150</v>
      </c>
      <c r="G23" s="9">
        <f>'2025'!P23</f>
        <v>12000</v>
      </c>
      <c r="H23" s="9">
        <f t="shared" si="0"/>
        <v>40060</v>
      </c>
      <c r="I23" s="118"/>
    </row>
    <row r="24" spans="2:9" x14ac:dyDescent="0.3">
      <c r="B24" s="106"/>
      <c r="C24" s="7" t="s">
        <v>34</v>
      </c>
      <c r="D24" s="9">
        <v>15000</v>
      </c>
      <c r="E24" s="9">
        <v>50000</v>
      </c>
      <c r="F24" s="9">
        <v>24000</v>
      </c>
      <c r="G24" s="9">
        <f>'2025'!P24</f>
        <v>31000</v>
      </c>
      <c r="H24" s="9">
        <f t="shared" si="0"/>
        <v>120000</v>
      </c>
      <c r="I24" s="118"/>
    </row>
    <row r="25" spans="2:9" ht="15" thickBot="1" x14ac:dyDescent="0.35">
      <c r="B25" s="107"/>
      <c r="C25" s="12" t="s">
        <v>35</v>
      </c>
      <c r="D25" s="14">
        <v>11000</v>
      </c>
      <c r="E25" s="14">
        <v>60600</v>
      </c>
      <c r="F25" s="14">
        <v>108925</v>
      </c>
      <c r="G25" s="14">
        <f>'2025'!P25</f>
        <v>58600</v>
      </c>
      <c r="H25" s="14">
        <f t="shared" si="0"/>
        <v>239125</v>
      </c>
      <c r="I25" s="119"/>
    </row>
    <row r="26" spans="2:9" x14ac:dyDescent="0.3">
      <c r="B26" s="112" t="s">
        <v>37</v>
      </c>
      <c r="C26" s="19" t="s">
        <v>38</v>
      </c>
      <c r="D26" s="21">
        <v>0</v>
      </c>
      <c r="E26" s="21">
        <v>29460</v>
      </c>
      <c r="F26" s="21">
        <v>51981</v>
      </c>
      <c r="G26" s="21">
        <f>'2025'!P26</f>
        <v>40376</v>
      </c>
      <c r="H26" s="21">
        <f t="shared" si="0"/>
        <v>121817</v>
      </c>
      <c r="I26" s="120">
        <f>SUM(H26:H27)</f>
        <v>309207</v>
      </c>
    </row>
    <row r="27" spans="2:9" ht="15" thickBot="1" x14ac:dyDescent="0.35">
      <c r="B27" s="114"/>
      <c r="C27" s="30" t="s">
        <v>39</v>
      </c>
      <c r="D27" s="28">
        <v>6500</v>
      </c>
      <c r="E27" s="28">
        <v>33280</v>
      </c>
      <c r="F27" s="28">
        <v>99797</v>
      </c>
      <c r="G27" s="28">
        <f>'2025'!P27</f>
        <v>47813</v>
      </c>
      <c r="H27" s="28">
        <f t="shared" si="0"/>
        <v>187390</v>
      </c>
      <c r="I27" s="122"/>
    </row>
    <row r="28" spans="2:9" x14ac:dyDescent="0.3">
      <c r="B28" s="105" t="s">
        <v>40</v>
      </c>
      <c r="C28" s="4" t="s">
        <v>41</v>
      </c>
      <c r="D28" s="6">
        <v>1500</v>
      </c>
      <c r="E28" s="6">
        <v>16407</v>
      </c>
      <c r="F28" s="6">
        <v>48366</v>
      </c>
      <c r="G28" s="6">
        <f>'2025'!P28</f>
        <v>43260</v>
      </c>
      <c r="H28" s="6">
        <f t="shared" si="0"/>
        <v>109533</v>
      </c>
      <c r="I28" s="117">
        <f>SUM(H28:H35)</f>
        <v>944778</v>
      </c>
    </row>
    <row r="29" spans="2:9" x14ac:dyDescent="0.3">
      <c r="B29" s="106"/>
      <c r="C29" s="7" t="s">
        <v>42</v>
      </c>
      <c r="D29" s="9">
        <v>1770</v>
      </c>
      <c r="E29" s="9">
        <v>6660</v>
      </c>
      <c r="F29" s="9">
        <v>88316</v>
      </c>
      <c r="G29" s="9">
        <f>'2025'!P29</f>
        <v>129882</v>
      </c>
      <c r="H29" s="9">
        <f t="shared" si="0"/>
        <v>226628</v>
      </c>
      <c r="I29" s="118"/>
    </row>
    <row r="30" spans="2:9" x14ac:dyDescent="0.3">
      <c r="B30" s="106"/>
      <c r="C30" s="7" t="s">
        <v>65</v>
      </c>
      <c r="D30" s="9">
        <v>0</v>
      </c>
      <c r="E30" s="9">
        <v>0</v>
      </c>
      <c r="F30" s="9">
        <v>0</v>
      </c>
      <c r="G30" s="9">
        <f>'2025'!P30</f>
        <v>78906</v>
      </c>
      <c r="H30" s="9">
        <f t="shared" si="0"/>
        <v>78906</v>
      </c>
      <c r="I30" s="118"/>
    </row>
    <row r="31" spans="2:9" x14ac:dyDescent="0.3">
      <c r="B31" s="106"/>
      <c r="C31" s="16" t="s">
        <v>43</v>
      </c>
      <c r="D31" s="9">
        <v>0</v>
      </c>
      <c r="E31" s="9">
        <v>380</v>
      </c>
      <c r="F31" s="9">
        <v>400</v>
      </c>
      <c r="G31" s="9">
        <f>'2025'!P31</f>
        <v>10950</v>
      </c>
      <c r="H31" s="9">
        <f t="shared" si="0"/>
        <v>11730</v>
      </c>
      <c r="I31" s="118"/>
    </row>
    <row r="32" spans="2:9" x14ac:dyDescent="0.3">
      <c r="B32" s="106"/>
      <c r="C32" s="7" t="s">
        <v>66</v>
      </c>
      <c r="D32" s="9">
        <v>0</v>
      </c>
      <c r="E32" s="9">
        <v>1300</v>
      </c>
      <c r="F32" s="9">
        <v>6541</v>
      </c>
      <c r="G32" s="9">
        <f>'2025'!P32</f>
        <v>1737</v>
      </c>
      <c r="H32" s="9">
        <f t="shared" si="0"/>
        <v>9578</v>
      </c>
      <c r="I32" s="118"/>
    </row>
    <row r="33" spans="2:9" x14ac:dyDescent="0.3">
      <c r="B33" s="106"/>
      <c r="C33" s="7" t="s">
        <v>64</v>
      </c>
      <c r="D33" s="9">
        <v>0</v>
      </c>
      <c r="E33" s="9">
        <v>0</v>
      </c>
      <c r="F33" s="9">
        <v>0</v>
      </c>
      <c r="G33" s="9">
        <f>'2025'!P33</f>
        <v>6857</v>
      </c>
      <c r="H33" s="9">
        <f t="shared" si="0"/>
        <v>6857</v>
      </c>
      <c r="I33" s="118"/>
    </row>
    <row r="34" spans="2:9" x14ac:dyDescent="0.3">
      <c r="B34" s="106"/>
      <c r="C34" s="7" t="s">
        <v>63</v>
      </c>
      <c r="D34" s="9">
        <v>0</v>
      </c>
      <c r="E34" s="9">
        <v>3100</v>
      </c>
      <c r="F34" s="9">
        <v>30501</v>
      </c>
      <c r="G34" s="9">
        <f>'2025'!P34</f>
        <v>24804</v>
      </c>
      <c r="H34" s="9">
        <f t="shared" si="0"/>
        <v>58405</v>
      </c>
      <c r="I34" s="118"/>
    </row>
    <row r="35" spans="2:9" ht="15" thickBot="1" x14ac:dyDescent="0.35">
      <c r="B35" s="107"/>
      <c r="C35" s="12" t="s">
        <v>44</v>
      </c>
      <c r="D35" s="14">
        <v>1650</v>
      </c>
      <c r="E35" s="14">
        <v>20150</v>
      </c>
      <c r="F35" s="14">
        <v>212039</v>
      </c>
      <c r="G35" s="14">
        <f>'2025'!P35</f>
        <v>209302</v>
      </c>
      <c r="H35" s="14">
        <f t="shared" si="0"/>
        <v>443141</v>
      </c>
      <c r="I35" s="119"/>
    </row>
    <row r="36" spans="2:9" x14ac:dyDescent="0.3">
      <c r="B36" s="112" t="s">
        <v>45</v>
      </c>
      <c r="C36" s="19" t="s">
        <v>51</v>
      </c>
      <c r="D36" s="21">
        <v>0</v>
      </c>
      <c r="E36" s="21">
        <v>0</v>
      </c>
      <c r="F36" s="21">
        <v>5000</v>
      </c>
      <c r="G36" s="21">
        <f>'2025'!P36</f>
        <v>60000</v>
      </c>
      <c r="H36" s="21">
        <f t="shared" si="0"/>
        <v>65000</v>
      </c>
      <c r="I36" s="120">
        <f>SUM(H36:H42)</f>
        <v>717411</v>
      </c>
    </row>
    <row r="37" spans="2:9" x14ac:dyDescent="0.3">
      <c r="B37" s="113"/>
      <c r="C37" s="22" t="s">
        <v>46</v>
      </c>
      <c r="D37" s="24">
        <v>0</v>
      </c>
      <c r="E37" s="24">
        <v>0</v>
      </c>
      <c r="F37" s="24">
        <v>0</v>
      </c>
      <c r="G37" s="24">
        <f>'2025'!P37</f>
        <v>29911</v>
      </c>
      <c r="H37" s="24">
        <f t="shared" si="0"/>
        <v>29911</v>
      </c>
      <c r="I37" s="121"/>
    </row>
    <row r="38" spans="2:9" x14ac:dyDescent="0.3">
      <c r="B38" s="113"/>
      <c r="C38" s="22" t="s">
        <v>48</v>
      </c>
      <c r="D38" s="24">
        <v>0</v>
      </c>
      <c r="E38" s="24">
        <v>0</v>
      </c>
      <c r="F38" s="24">
        <v>0</v>
      </c>
      <c r="G38" s="24">
        <f>'2025'!P38</f>
        <v>0</v>
      </c>
      <c r="H38" s="24">
        <f t="shared" si="0"/>
        <v>0</v>
      </c>
      <c r="I38" s="121"/>
    </row>
    <row r="39" spans="2:9" x14ac:dyDescent="0.3">
      <c r="B39" s="113"/>
      <c r="C39" s="22" t="s">
        <v>49</v>
      </c>
      <c r="D39" s="24">
        <v>0</v>
      </c>
      <c r="E39" s="24">
        <v>0</v>
      </c>
      <c r="F39" s="24">
        <v>0</v>
      </c>
      <c r="G39" s="24">
        <f>'2025'!P39</f>
        <v>0</v>
      </c>
      <c r="H39" s="24">
        <f t="shared" si="0"/>
        <v>0</v>
      </c>
      <c r="I39" s="121"/>
    </row>
    <row r="40" spans="2:9" x14ac:dyDescent="0.3">
      <c r="B40" s="113"/>
      <c r="C40" s="22" t="s">
        <v>60</v>
      </c>
      <c r="D40" s="24">
        <v>2000</v>
      </c>
      <c r="E40" s="24">
        <v>0</v>
      </c>
      <c r="F40" s="24">
        <v>0</v>
      </c>
      <c r="G40" s="24">
        <f>'2025'!P40</f>
        <v>0</v>
      </c>
      <c r="H40" s="24">
        <f t="shared" si="0"/>
        <v>2000</v>
      </c>
      <c r="I40" s="121"/>
    </row>
    <row r="41" spans="2:9" x14ac:dyDescent="0.3">
      <c r="B41" s="113"/>
      <c r="C41" s="22" t="s">
        <v>50</v>
      </c>
      <c r="D41" s="24">
        <v>0</v>
      </c>
      <c r="E41" s="24">
        <v>0</v>
      </c>
      <c r="F41" s="24">
        <v>0</v>
      </c>
      <c r="G41" s="24">
        <f>'2025'!P41</f>
        <v>0</v>
      </c>
      <c r="H41" s="24">
        <f t="shared" si="0"/>
        <v>0</v>
      </c>
      <c r="I41" s="121"/>
    </row>
    <row r="42" spans="2:9" ht="15" thickBot="1" x14ac:dyDescent="0.35">
      <c r="B42" s="114"/>
      <c r="C42" s="26" t="s">
        <v>47</v>
      </c>
      <c r="D42" s="28">
        <v>10000</v>
      </c>
      <c r="E42" s="28">
        <v>30000</v>
      </c>
      <c r="F42" s="28">
        <v>0</v>
      </c>
      <c r="G42" s="28">
        <f>'2025'!P42</f>
        <v>580500</v>
      </c>
      <c r="H42" s="28">
        <f t="shared" si="0"/>
        <v>620500</v>
      </c>
      <c r="I42" s="122"/>
    </row>
    <row r="43" spans="2:9" x14ac:dyDescent="0.3">
      <c r="B43" s="105" t="s">
        <v>52</v>
      </c>
      <c r="C43" s="4" t="s">
        <v>53</v>
      </c>
      <c r="D43" s="6">
        <v>11111</v>
      </c>
      <c r="E43" s="6">
        <v>5000</v>
      </c>
      <c r="F43" s="6">
        <v>0</v>
      </c>
      <c r="G43" s="6">
        <f>'2025'!P43</f>
        <v>23279</v>
      </c>
      <c r="H43" s="6">
        <f t="shared" si="0"/>
        <v>39390</v>
      </c>
      <c r="I43" s="117">
        <f>SUM(H43:H46)</f>
        <v>260293</v>
      </c>
    </row>
    <row r="44" spans="2:9" x14ac:dyDescent="0.3">
      <c r="B44" s="106"/>
      <c r="C44" s="7" t="s">
        <v>54</v>
      </c>
      <c r="D44" s="9">
        <v>0</v>
      </c>
      <c r="E44" s="9">
        <v>4500</v>
      </c>
      <c r="F44" s="9">
        <v>2305</v>
      </c>
      <c r="G44" s="9">
        <f>'2025'!P44</f>
        <v>24007</v>
      </c>
      <c r="H44" s="9">
        <f t="shared" si="0"/>
        <v>30812</v>
      </c>
      <c r="I44" s="118"/>
    </row>
    <row r="45" spans="2:9" x14ac:dyDescent="0.3">
      <c r="B45" s="106"/>
      <c r="C45" s="7" t="s">
        <v>55</v>
      </c>
      <c r="D45" s="9">
        <v>30000</v>
      </c>
      <c r="E45" s="9">
        <v>9230</v>
      </c>
      <c r="F45" s="9">
        <v>28122</v>
      </c>
      <c r="G45" s="9">
        <f>'2025'!P45</f>
        <v>100799</v>
      </c>
      <c r="H45" s="9">
        <f t="shared" si="0"/>
        <v>168151</v>
      </c>
      <c r="I45" s="118"/>
    </row>
    <row r="46" spans="2:9" ht="15" thickBot="1" x14ac:dyDescent="0.35">
      <c r="B46" s="107"/>
      <c r="C46" s="12" t="s">
        <v>68</v>
      </c>
      <c r="D46" s="14">
        <v>2476</v>
      </c>
      <c r="E46" s="14">
        <v>4444</v>
      </c>
      <c r="F46" s="14">
        <v>7390</v>
      </c>
      <c r="G46" s="14">
        <f>'2025'!P46</f>
        <v>7630</v>
      </c>
      <c r="H46" s="14">
        <f t="shared" si="0"/>
        <v>21940</v>
      </c>
      <c r="I46" s="119"/>
    </row>
    <row r="47" spans="2:9" ht="15" thickBot="1" x14ac:dyDescent="0.35">
      <c r="B47" s="33" t="s">
        <v>58</v>
      </c>
      <c r="C47" s="34" t="s">
        <v>59</v>
      </c>
      <c r="D47" s="36">
        <v>100400</v>
      </c>
      <c r="E47" s="36">
        <v>150000</v>
      </c>
      <c r="F47" s="36">
        <v>167788</v>
      </c>
      <c r="G47" s="36">
        <f>'2025'!P47</f>
        <v>0</v>
      </c>
      <c r="H47" s="36">
        <f t="shared" si="0"/>
        <v>418188</v>
      </c>
      <c r="I47" s="37">
        <f>SUM(H47:H47)</f>
        <v>418188</v>
      </c>
    </row>
    <row r="48" spans="2:9" ht="18" thickBot="1" x14ac:dyDescent="0.35">
      <c r="B48" s="115" t="s">
        <v>57</v>
      </c>
      <c r="C48" s="116"/>
      <c r="D48" s="17">
        <f>SUM(D3:D47)</f>
        <v>636563</v>
      </c>
      <c r="E48" s="17">
        <f t="shared" ref="E48:G48" si="1">SUM(E3:E47)</f>
        <v>2346940</v>
      </c>
      <c r="F48" s="17">
        <f t="shared" si="1"/>
        <v>2879737</v>
      </c>
      <c r="G48" s="17">
        <f t="shared" si="1"/>
        <v>3622461</v>
      </c>
      <c r="H48" s="17">
        <f t="shared" ref="H48:I48" si="2">SUM(H3:H47)</f>
        <v>9485701</v>
      </c>
      <c r="I48" s="18">
        <f t="shared" si="2"/>
        <v>9485701</v>
      </c>
    </row>
  </sheetData>
  <mergeCells count="15">
    <mergeCell ref="B3:B15"/>
    <mergeCell ref="I3:I15"/>
    <mergeCell ref="B16:B20"/>
    <mergeCell ref="I16:I20"/>
    <mergeCell ref="B21:B25"/>
    <mergeCell ref="I21:I25"/>
    <mergeCell ref="B43:B46"/>
    <mergeCell ref="I43:I46"/>
    <mergeCell ref="B48:C48"/>
    <mergeCell ref="B26:B27"/>
    <mergeCell ref="I26:I27"/>
    <mergeCell ref="B28:B35"/>
    <mergeCell ref="I28:I35"/>
    <mergeCell ref="B36:B42"/>
    <mergeCell ref="I36:I4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F4D92-E061-4C48-A9B8-3757FBCBE770}">
  <dimension ref="B1:G45"/>
  <sheetViews>
    <sheetView tabSelected="1" topLeftCell="A13" zoomScale="81" zoomScaleNormal="81" workbookViewId="0">
      <selection activeCell="G55" sqref="G55"/>
    </sheetView>
  </sheetViews>
  <sheetFormatPr defaultRowHeight="14.4" x14ac:dyDescent="0.3"/>
  <cols>
    <col min="2" max="2" width="37" bestFit="1" customWidth="1"/>
    <col min="3" max="3" width="65" bestFit="1" customWidth="1"/>
    <col min="4" max="4" width="9.44140625" customWidth="1"/>
    <col min="5" max="5" width="10.33203125" customWidth="1"/>
    <col min="6" max="6" width="46.5546875" customWidth="1"/>
    <col min="7" max="7" width="46.33203125" bestFit="1" customWidth="1"/>
  </cols>
  <sheetData>
    <row r="1" spans="2:7" ht="15" thickBot="1" x14ac:dyDescent="0.35"/>
    <row r="2" spans="2:7" ht="18.600000000000001" thickBot="1" x14ac:dyDescent="0.35">
      <c r="B2" s="44" t="s">
        <v>12</v>
      </c>
      <c r="C2" s="45" t="s">
        <v>56</v>
      </c>
      <c r="D2" s="45">
        <v>2026</v>
      </c>
      <c r="E2" s="45">
        <v>2027</v>
      </c>
      <c r="F2" s="45" t="s">
        <v>62</v>
      </c>
      <c r="G2" s="46" t="s">
        <v>61</v>
      </c>
    </row>
    <row r="3" spans="2:7" x14ac:dyDescent="0.3">
      <c r="B3" s="105" t="s">
        <v>13</v>
      </c>
      <c r="C3" s="4" t="s">
        <v>20</v>
      </c>
      <c r="D3" s="4"/>
      <c r="E3" s="4"/>
      <c r="F3" s="4"/>
      <c r="G3" s="47"/>
    </row>
    <row r="4" spans="2:7" x14ac:dyDescent="0.3">
      <c r="B4" s="106"/>
      <c r="C4" s="7" t="s">
        <v>71</v>
      </c>
      <c r="D4" s="7"/>
      <c r="E4" s="7"/>
      <c r="F4" s="7"/>
      <c r="G4" s="48"/>
    </row>
    <row r="5" spans="2:7" x14ac:dyDescent="0.3">
      <c r="B5" s="106"/>
      <c r="C5" s="7" t="s">
        <v>18</v>
      </c>
      <c r="D5" s="7"/>
      <c r="E5" s="7"/>
      <c r="F5" s="7"/>
      <c r="G5" s="48"/>
    </row>
    <row r="6" spans="2:7" x14ac:dyDescent="0.3">
      <c r="B6" s="106"/>
      <c r="C6" s="7" t="s">
        <v>17</v>
      </c>
      <c r="D6" s="7"/>
      <c r="E6" s="7"/>
      <c r="F6" s="7"/>
      <c r="G6" s="48"/>
    </row>
    <row r="7" spans="2:7" x14ac:dyDescent="0.3">
      <c r="B7" s="106"/>
      <c r="C7" s="7" t="s">
        <v>72</v>
      </c>
      <c r="D7" s="7"/>
      <c r="E7" s="7"/>
      <c r="F7" s="7"/>
      <c r="G7" s="48"/>
    </row>
    <row r="8" spans="2:7" x14ac:dyDescent="0.3">
      <c r="B8" s="106"/>
      <c r="C8" s="7" t="s">
        <v>73</v>
      </c>
      <c r="D8" s="7"/>
      <c r="E8" s="7"/>
      <c r="F8" s="7"/>
      <c r="G8" s="48"/>
    </row>
    <row r="9" spans="2:7" x14ac:dyDescent="0.3">
      <c r="B9" s="106"/>
      <c r="C9" s="7" t="s">
        <v>26</v>
      </c>
      <c r="D9" s="7"/>
      <c r="E9" s="7"/>
      <c r="F9" s="7"/>
      <c r="G9" s="48"/>
    </row>
    <row r="10" spans="2:7" x14ac:dyDescent="0.3">
      <c r="B10" s="106"/>
      <c r="C10" s="7" t="s">
        <v>21</v>
      </c>
      <c r="D10" s="7"/>
      <c r="E10" s="7"/>
      <c r="F10" s="7"/>
      <c r="G10" s="48"/>
    </row>
    <row r="11" spans="2:7" x14ac:dyDescent="0.3">
      <c r="B11" s="106"/>
      <c r="C11" s="7" t="s">
        <v>24</v>
      </c>
      <c r="D11" s="7"/>
      <c r="E11" s="7"/>
      <c r="F11" s="7"/>
      <c r="G11" s="48"/>
    </row>
    <row r="12" spans="2:7" x14ac:dyDescent="0.3">
      <c r="B12" s="106"/>
      <c r="C12" s="7" t="s">
        <v>74</v>
      </c>
      <c r="D12" s="7"/>
      <c r="E12" s="7"/>
      <c r="F12" s="7"/>
      <c r="G12" s="48"/>
    </row>
    <row r="13" spans="2:7" x14ac:dyDescent="0.3">
      <c r="B13" s="106"/>
      <c r="C13" s="7" t="s">
        <v>75</v>
      </c>
      <c r="D13" s="7"/>
      <c r="E13" s="7"/>
      <c r="F13" s="7"/>
      <c r="G13" s="48"/>
    </row>
    <row r="14" spans="2:7" x14ac:dyDescent="0.3">
      <c r="B14" s="106"/>
      <c r="C14" s="7" t="s">
        <v>25</v>
      </c>
      <c r="D14" s="7"/>
      <c r="E14" s="7"/>
      <c r="F14" s="7"/>
      <c r="G14" s="48"/>
    </row>
    <row r="15" spans="2:7" x14ac:dyDescent="0.3">
      <c r="B15" s="106"/>
      <c r="C15" s="7" t="s">
        <v>33</v>
      </c>
      <c r="D15" s="7"/>
      <c r="E15" s="7"/>
      <c r="F15" s="7"/>
      <c r="G15" s="48"/>
    </row>
    <row r="16" spans="2:7" x14ac:dyDescent="0.3">
      <c r="B16" s="106"/>
      <c r="C16" s="7" t="s">
        <v>76</v>
      </c>
      <c r="D16" s="7"/>
      <c r="E16" s="7"/>
      <c r="F16" s="7"/>
      <c r="G16" s="48"/>
    </row>
    <row r="17" spans="2:7" ht="15" thickBot="1" x14ac:dyDescent="0.35">
      <c r="B17" s="107"/>
      <c r="C17" s="12" t="s">
        <v>16</v>
      </c>
      <c r="D17" s="12"/>
      <c r="E17" s="12"/>
      <c r="F17" s="12"/>
      <c r="G17" s="49"/>
    </row>
    <row r="18" spans="2:7" x14ac:dyDescent="0.3">
      <c r="B18" s="110" t="s">
        <v>31</v>
      </c>
      <c r="C18" s="19" t="s">
        <v>30</v>
      </c>
      <c r="D18" s="19"/>
      <c r="E18" s="19"/>
      <c r="F18" s="19"/>
      <c r="G18" s="50"/>
    </row>
    <row r="19" spans="2:7" ht="15" thickBot="1" x14ac:dyDescent="0.35">
      <c r="B19" s="111"/>
      <c r="C19" s="26" t="s">
        <v>77</v>
      </c>
      <c r="D19" s="26"/>
      <c r="E19" s="26"/>
      <c r="F19" s="26"/>
      <c r="G19" s="51"/>
    </row>
    <row r="20" spans="2:7" x14ac:dyDescent="0.3">
      <c r="B20" s="105" t="s">
        <v>78</v>
      </c>
      <c r="C20" s="4" t="s">
        <v>69</v>
      </c>
      <c r="D20" s="4"/>
      <c r="E20" s="4"/>
      <c r="F20" s="4"/>
      <c r="G20" s="47"/>
    </row>
    <row r="21" spans="2:7" x14ac:dyDescent="0.3">
      <c r="B21" s="106"/>
      <c r="C21" s="7" t="s">
        <v>36</v>
      </c>
      <c r="D21" s="7"/>
      <c r="E21" s="7"/>
      <c r="F21" s="7"/>
      <c r="G21" s="48"/>
    </row>
    <row r="22" spans="2:7" x14ac:dyDescent="0.3">
      <c r="B22" s="106"/>
      <c r="C22" s="7" t="s">
        <v>34</v>
      </c>
      <c r="D22" s="7"/>
      <c r="E22" s="7"/>
      <c r="F22" s="7"/>
      <c r="G22" s="48"/>
    </row>
    <row r="23" spans="2:7" ht="15" thickBot="1" x14ac:dyDescent="0.35">
      <c r="B23" s="107"/>
      <c r="C23" s="12" t="s">
        <v>35</v>
      </c>
      <c r="D23" s="12"/>
      <c r="E23" s="12"/>
      <c r="F23" s="12"/>
      <c r="G23" s="49"/>
    </row>
    <row r="24" spans="2:7" x14ac:dyDescent="0.3">
      <c r="B24" s="112" t="s">
        <v>37</v>
      </c>
      <c r="C24" s="19" t="s">
        <v>38</v>
      </c>
      <c r="D24" s="19"/>
      <c r="E24" s="19"/>
      <c r="F24" s="19"/>
      <c r="G24" s="50"/>
    </row>
    <row r="25" spans="2:7" x14ac:dyDescent="0.3">
      <c r="B25" s="113"/>
      <c r="C25" s="22" t="s">
        <v>79</v>
      </c>
      <c r="D25" s="22"/>
      <c r="E25" s="22"/>
      <c r="F25" s="22"/>
      <c r="G25" s="52"/>
    </row>
    <row r="26" spans="2:7" ht="15" thickBot="1" x14ac:dyDescent="0.35">
      <c r="B26" s="114"/>
      <c r="C26" s="30" t="s">
        <v>39</v>
      </c>
      <c r="D26" s="26"/>
      <c r="E26" s="26"/>
      <c r="F26" s="26"/>
      <c r="G26" s="51"/>
    </row>
    <row r="27" spans="2:7" x14ac:dyDescent="0.3">
      <c r="B27" s="105" t="s">
        <v>40</v>
      </c>
      <c r="C27" s="4" t="s">
        <v>41</v>
      </c>
      <c r="D27" s="4"/>
      <c r="E27" s="4"/>
      <c r="F27" s="4"/>
      <c r="G27" s="47"/>
    </row>
    <row r="28" spans="2:7" x14ac:dyDescent="0.3">
      <c r="B28" s="106"/>
      <c r="C28" s="7" t="s">
        <v>42</v>
      </c>
      <c r="D28" s="7"/>
      <c r="E28" s="7"/>
      <c r="F28" s="7"/>
      <c r="G28" s="48"/>
    </row>
    <row r="29" spans="2:7" x14ac:dyDescent="0.3">
      <c r="B29" s="106"/>
      <c r="C29" s="7" t="s">
        <v>80</v>
      </c>
      <c r="D29" s="7"/>
      <c r="E29" s="7"/>
      <c r="F29" s="7"/>
      <c r="G29" s="48"/>
    </row>
    <row r="30" spans="2:7" x14ac:dyDescent="0.3">
      <c r="B30" s="106"/>
      <c r="C30" s="7" t="s">
        <v>65</v>
      </c>
      <c r="D30" s="7"/>
      <c r="E30" s="7"/>
      <c r="F30" s="102"/>
      <c r="G30" s="7"/>
    </row>
    <row r="31" spans="2:7" x14ac:dyDescent="0.3">
      <c r="B31" s="106"/>
      <c r="C31" s="16" t="s">
        <v>81</v>
      </c>
      <c r="D31" s="7"/>
      <c r="E31" s="7"/>
      <c r="F31" s="7"/>
      <c r="G31" s="48"/>
    </row>
    <row r="32" spans="2:7" x14ac:dyDescent="0.3">
      <c r="B32" s="106"/>
      <c r="C32" s="16" t="s">
        <v>82</v>
      </c>
      <c r="D32" s="7"/>
      <c r="E32" s="7"/>
      <c r="F32" s="7"/>
      <c r="G32" s="48"/>
    </row>
    <row r="33" spans="2:7" x14ac:dyDescent="0.3">
      <c r="B33" s="106"/>
      <c r="C33" s="7" t="s">
        <v>66</v>
      </c>
      <c r="D33" s="7"/>
      <c r="E33" s="7"/>
      <c r="F33" s="7"/>
      <c r="G33" s="48"/>
    </row>
    <row r="34" spans="2:7" x14ac:dyDescent="0.3">
      <c r="B34" s="106"/>
      <c r="C34" s="7" t="s">
        <v>64</v>
      </c>
      <c r="D34" s="7"/>
      <c r="E34" s="7"/>
      <c r="F34" s="7"/>
      <c r="G34" s="48"/>
    </row>
    <row r="35" spans="2:7" x14ac:dyDescent="0.3">
      <c r="B35" s="106"/>
      <c r="C35" s="7" t="s">
        <v>63</v>
      </c>
      <c r="D35" s="7"/>
      <c r="E35" s="7"/>
      <c r="F35" s="7"/>
      <c r="G35" s="48"/>
    </row>
    <row r="36" spans="2:7" ht="15" thickBot="1" x14ac:dyDescent="0.35">
      <c r="B36" s="107"/>
      <c r="C36" s="12" t="s">
        <v>44</v>
      </c>
      <c r="D36" s="12"/>
      <c r="E36" s="12"/>
      <c r="F36" s="12"/>
      <c r="G36" s="49"/>
    </row>
    <row r="37" spans="2:7" x14ac:dyDescent="0.3">
      <c r="B37" s="112" t="s">
        <v>45</v>
      </c>
      <c r="C37" s="19" t="s">
        <v>46</v>
      </c>
      <c r="D37" s="19"/>
      <c r="E37" s="19"/>
      <c r="F37" s="19"/>
      <c r="G37" s="50"/>
    </row>
    <row r="38" spans="2:7" x14ac:dyDescent="0.3">
      <c r="B38" s="113"/>
      <c r="C38" s="22" t="s">
        <v>83</v>
      </c>
      <c r="D38" s="22"/>
      <c r="E38" s="22"/>
      <c r="F38" s="22"/>
      <c r="G38" s="52"/>
    </row>
    <row r="39" spans="2:7" x14ac:dyDescent="0.3">
      <c r="B39" s="113"/>
      <c r="C39" s="22" t="s">
        <v>48</v>
      </c>
      <c r="D39" s="22"/>
      <c r="E39" s="22"/>
      <c r="F39" s="22"/>
      <c r="G39" s="52"/>
    </row>
    <row r="40" spans="2:7" ht="15" thickBot="1" x14ac:dyDescent="0.35">
      <c r="B40" s="114"/>
      <c r="C40" s="26" t="s">
        <v>47</v>
      </c>
      <c r="D40" s="26"/>
      <c r="E40" s="26"/>
      <c r="F40" s="26"/>
      <c r="G40" s="51"/>
    </row>
    <row r="41" spans="2:7" x14ac:dyDescent="0.3">
      <c r="B41" s="105" t="s">
        <v>52</v>
      </c>
      <c r="C41" s="4" t="s">
        <v>53</v>
      </c>
      <c r="D41" s="4"/>
      <c r="E41" s="4"/>
      <c r="F41" s="4"/>
      <c r="G41" s="47"/>
    </row>
    <row r="42" spans="2:7" x14ac:dyDescent="0.3">
      <c r="B42" s="106"/>
      <c r="C42" s="7" t="s">
        <v>54</v>
      </c>
      <c r="D42" s="7"/>
      <c r="E42" s="7"/>
      <c r="F42" s="7"/>
      <c r="G42" s="48"/>
    </row>
    <row r="43" spans="2:7" x14ac:dyDescent="0.3">
      <c r="B43" s="106"/>
      <c r="C43" s="7" t="s">
        <v>55</v>
      </c>
      <c r="D43" s="7"/>
      <c r="E43" s="7"/>
      <c r="F43" s="7"/>
      <c r="G43" s="48"/>
    </row>
    <row r="44" spans="2:7" ht="15" thickBot="1" x14ac:dyDescent="0.35">
      <c r="B44" s="107"/>
      <c r="C44" s="12" t="s">
        <v>84</v>
      </c>
      <c r="D44" s="12"/>
      <c r="E44" s="12"/>
      <c r="F44" s="12"/>
      <c r="G44" s="49"/>
    </row>
    <row r="45" spans="2:7" ht="18" thickBot="1" x14ac:dyDescent="0.35">
      <c r="B45" s="108" t="s">
        <v>57</v>
      </c>
      <c r="C45" s="109"/>
      <c r="D45" s="103"/>
      <c r="E45" s="103"/>
      <c r="F45" s="103"/>
      <c r="G45" s="104"/>
    </row>
  </sheetData>
  <mergeCells count="8">
    <mergeCell ref="B41:B44"/>
    <mergeCell ref="B45:C45"/>
    <mergeCell ref="B3:B17"/>
    <mergeCell ref="B18:B19"/>
    <mergeCell ref="B20:B23"/>
    <mergeCell ref="B24:B26"/>
    <mergeCell ref="B27:B36"/>
    <mergeCell ref="B37:B4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2022</vt:lpstr>
      <vt:lpstr>2023</vt:lpstr>
      <vt:lpstr>2024</vt:lpstr>
      <vt:lpstr>2025</vt:lpstr>
      <vt:lpstr>2026</vt:lpstr>
      <vt:lpstr>Total Expenses Sep-22 to Dec-25</vt:lpstr>
      <vt:lpstr>Total Expenses Jan-26 to Till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Sachin</dc:creator>
  <cp:lastModifiedBy>Ashwini Wandre</cp:lastModifiedBy>
  <dcterms:created xsi:type="dcterms:W3CDTF">2015-06-05T18:17:20Z</dcterms:created>
  <dcterms:modified xsi:type="dcterms:W3CDTF">2026-08-06T17:58:20Z</dcterms:modified>
</cp:coreProperties>
</file>