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My Expenses\"/>
    </mc:Choice>
  </mc:AlternateContent>
  <xr:revisionPtr revIDLastSave="0" documentId="13_ncr:1_{E93D1E73-7FE1-434D-8B2E-602CD690C3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 Calculation" sheetId="2" r:id="rId1"/>
    <sheet name="Monthly Expenditure Calculation" sheetId="5" r:id="rId2"/>
    <sheet name="Total Saving Calculation" sheetId="4" r:id="rId3"/>
    <sheet name="Krisala 41 Elite F-803 Total " sheetId="3" r:id="rId4"/>
  </sheets>
  <definedNames>
    <definedName name="_xlnm._FilterDatabase" localSheetId="0" hidden="1">'Total Calculation'!#REF!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5" l="1"/>
  <c r="K10" i="5"/>
  <c r="H8" i="5"/>
  <c r="H16" i="4"/>
  <c r="G16" i="4"/>
  <c r="F16" i="4"/>
  <c r="E16" i="4"/>
  <c r="D16" i="4"/>
  <c r="P16" i="4" s="1"/>
  <c r="P15" i="4"/>
  <c r="P14" i="4"/>
  <c r="P13" i="4"/>
  <c r="P12" i="4"/>
  <c r="P11" i="4"/>
  <c r="P10" i="4"/>
  <c r="P9" i="4"/>
  <c r="P8" i="4"/>
  <c r="P6" i="4"/>
  <c r="P5" i="4"/>
  <c r="P4" i="4"/>
  <c r="P6" i="3"/>
  <c r="P5" i="3"/>
  <c r="P13" i="3" s="1"/>
  <c r="N18" i="3" s="1"/>
  <c r="N19" i="3" s="1"/>
  <c r="H6" i="3"/>
  <c r="D11" i="3"/>
  <c r="H11" i="3"/>
  <c r="H17" i="3"/>
  <c r="D20" i="3"/>
  <c r="C34" i="2"/>
  <c r="G16" i="2"/>
  <c r="F16" i="2"/>
  <c r="D16" i="2"/>
  <c r="C16" i="2"/>
  <c r="E16" i="2" s="1"/>
  <c r="H5" i="2"/>
  <c r="H6" i="2"/>
  <c r="H7" i="2"/>
  <c r="H8" i="2"/>
  <c r="H9" i="2"/>
  <c r="H10" i="2"/>
  <c r="H11" i="2"/>
  <c r="H12" i="2"/>
  <c r="H13" i="2"/>
  <c r="H14" i="2"/>
  <c r="H15" i="2"/>
  <c r="H4" i="2"/>
  <c r="E5" i="2"/>
  <c r="I5" i="2" s="1"/>
  <c r="E6" i="2"/>
  <c r="E7" i="2"/>
  <c r="E8" i="2"/>
  <c r="E9" i="2"/>
  <c r="E10" i="2"/>
  <c r="E11" i="2"/>
  <c r="E12" i="2"/>
  <c r="E13" i="2"/>
  <c r="E14" i="2"/>
  <c r="E15" i="2"/>
  <c r="E4" i="2"/>
  <c r="N15" i="2"/>
  <c r="O15" i="2"/>
  <c r="P15" i="2"/>
  <c r="Q15" i="2"/>
  <c r="M15" i="2"/>
  <c r="R4" i="2"/>
  <c r="R5" i="2"/>
  <c r="R6" i="2"/>
  <c r="R7" i="2"/>
  <c r="R8" i="2"/>
  <c r="R9" i="2"/>
  <c r="R10" i="2"/>
  <c r="R11" i="2"/>
  <c r="R12" i="2"/>
  <c r="R13" i="2"/>
  <c r="R14" i="2"/>
  <c r="R3" i="2"/>
  <c r="I6" i="2" l="1"/>
  <c r="I7" i="2"/>
  <c r="I11" i="2"/>
  <c r="H16" i="2"/>
  <c r="I12" i="2"/>
  <c r="I16" i="2" s="1"/>
  <c r="I13" i="2"/>
  <c r="I14" i="2"/>
  <c r="I15" i="2"/>
  <c r="I4" i="2"/>
  <c r="I9" i="2"/>
  <c r="I10" i="2"/>
  <c r="I8" i="2"/>
  <c r="R15" i="2"/>
</calcChain>
</file>

<file path=xl/sharedStrings.xml><?xml version="1.0" encoding="utf-8"?>
<sst xmlns="http://schemas.openxmlformats.org/spreadsheetml/2006/main" count="197" uniqueCount="120">
  <si>
    <t xml:space="preserve">मामा मम्मी कडून घेतलेले पैसे </t>
  </si>
  <si>
    <t xml:space="preserve">गोल्ड 1 लोन काढून मिळालेलं  पैसे </t>
  </si>
  <si>
    <t>Mummy</t>
  </si>
  <si>
    <t>NIL</t>
  </si>
  <si>
    <t>Ashwini</t>
  </si>
  <si>
    <t>Sachin</t>
  </si>
  <si>
    <t>Mama</t>
  </si>
  <si>
    <t>Total</t>
  </si>
  <si>
    <t xml:space="preserve">गोल्ड 2 लोन काढून मिळालेलं  पैसे </t>
  </si>
  <si>
    <t xml:space="preserve">आता पर्यंत फेडलेले  पैसे </t>
  </si>
  <si>
    <t xml:space="preserve">अजून पर्यंत फेडायचे पैसे  </t>
  </si>
  <si>
    <t>Gold Loan 1</t>
  </si>
  <si>
    <t>Gold Loan 2</t>
  </si>
  <si>
    <t>SBI Home Loan</t>
  </si>
  <si>
    <t>Suraj</t>
  </si>
  <si>
    <t>Kaka</t>
  </si>
  <si>
    <t xml:space="preserve">महिनाचा खर्च </t>
  </si>
  <si>
    <t xml:space="preserve">दुसऱ्यांना दिलेले मिळणारे  पैसे </t>
  </si>
  <si>
    <t>Month</t>
  </si>
  <si>
    <t>Santosh Wandre</t>
  </si>
  <si>
    <t>January</t>
  </si>
  <si>
    <t>Santosh Patil</t>
  </si>
  <si>
    <t>February</t>
  </si>
  <si>
    <t>Jai Mam</t>
  </si>
  <si>
    <t>March</t>
  </si>
  <si>
    <t>April</t>
  </si>
  <si>
    <t>May</t>
  </si>
  <si>
    <t>June</t>
  </si>
  <si>
    <t>Sugat</t>
  </si>
  <si>
    <t>July</t>
  </si>
  <si>
    <t>Krishna Sutar</t>
  </si>
  <si>
    <t>August</t>
  </si>
  <si>
    <t>Jotiba Kamble</t>
  </si>
  <si>
    <t>September</t>
  </si>
  <si>
    <t>Sagar Dandge</t>
  </si>
  <si>
    <t>October</t>
  </si>
  <si>
    <t>Gundu Mama</t>
  </si>
  <si>
    <t>November</t>
  </si>
  <si>
    <t>Gajanan</t>
  </si>
  <si>
    <t>December</t>
  </si>
  <si>
    <t>Baban</t>
  </si>
  <si>
    <t>Nagesh Patil</t>
  </si>
  <si>
    <t>Monthly Income</t>
  </si>
  <si>
    <t>2025 Total</t>
  </si>
  <si>
    <t>2026 Total</t>
  </si>
  <si>
    <t>??</t>
  </si>
  <si>
    <t>Gautam</t>
  </si>
  <si>
    <t xml:space="preserve">नोव्हेंबर २०२१ ते डिसेंबर २०२५ अखेर </t>
  </si>
  <si>
    <t>आता पर्यंत भरलेले व्याज</t>
  </si>
  <si>
    <t>हफ्ता</t>
  </si>
  <si>
    <t>महिने</t>
  </si>
  <si>
    <t>एकुन रक्कम</t>
  </si>
  <si>
    <t xml:space="preserve">घर हफ्ता </t>
  </si>
  <si>
    <t xml:space="preserve">इन्शुरन्स हफ्ता </t>
  </si>
  <si>
    <t>स्वतः भरलेली रक्कम</t>
  </si>
  <si>
    <t>वकिलाला दिलेले</t>
  </si>
  <si>
    <t xml:space="preserve">एक्सट्रा टॉयलेट साठी </t>
  </si>
  <si>
    <t>बँक मधे भरलेले पैसे</t>
  </si>
  <si>
    <t xml:space="preserve">प्रॉपर्टी इन्शुरन्स </t>
  </si>
  <si>
    <t xml:space="preserve">२ वर्षाची मेन्टेनन्स फी </t>
  </si>
  <si>
    <t>एकुन भरलेली रक्कम</t>
  </si>
  <si>
    <t>आता पर्यंत घरा करिता वापरली गेलेली रक्कम</t>
  </si>
  <si>
    <t>**Need to update this monthly</t>
  </si>
  <si>
    <t>Owner</t>
  </si>
  <si>
    <t>Investment Type</t>
  </si>
  <si>
    <t>Till Aug 2026</t>
  </si>
  <si>
    <t>IWish</t>
  </si>
  <si>
    <t>Ashwini Provident Fund</t>
  </si>
  <si>
    <t>Mutual Funds</t>
  </si>
  <si>
    <t>LIC-935116739</t>
  </si>
  <si>
    <t>LIC-958754272</t>
  </si>
  <si>
    <t>TATA AIA</t>
  </si>
  <si>
    <t>SIP</t>
  </si>
  <si>
    <t>Sachin Provident Fund</t>
  </si>
  <si>
    <t>Sachin LIC-999227013</t>
  </si>
  <si>
    <t>Sachin LIC-958776457</t>
  </si>
  <si>
    <t>Gold</t>
  </si>
  <si>
    <t xml:space="preserve">4 पिल्याच्या अंगठी </t>
  </si>
  <si>
    <t xml:space="preserve"> ग्रॅम </t>
  </si>
  <si>
    <t xml:space="preserve">1 बांगडी </t>
  </si>
  <si>
    <t xml:space="preserve">1 गंठण </t>
  </si>
  <si>
    <t xml:space="preserve">मंगळसूत्र </t>
  </si>
  <si>
    <t xml:space="preserve">कोयरी कानातले </t>
  </si>
  <si>
    <t xml:space="preserve">मोराचे कानातले  </t>
  </si>
  <si>
    <t xml:space="preserve">ठुशी </t>
  </si>
  <si>
    <t xml:space="preserve">दोरली 4 मणी </t>
  </si>
  <si>
    <t>एकूण</t>
  </si>
  <si>
    <t xml:space="preserve">मम्मी 4 मणी 2 दोरले </t>
  </si>
  <si>
    <t xml:space="preserve"> </t>
  </si>
  <si>
    <t>Monthly Expenditure</t>
  </si>
  <si>
    <t>Yearly Expenditure</t>
  </si>
  <si>
    <t>Monthly Saving</t>
  </si>
  <si>
    <t>Dmart</t>
  </si>
  <si>
    <t>Term Plan</t>
  </si>
  <si>
    <t>Ashwini PF</t>
  </si>
  <si>
    <t>Electricity</t>
  </si>
  <si>
    <t>Life Insurance</t>
  </si>
  <si>
    <t>Fuel</t>
  </si>
  <si>
    <t>Krishnali School Fee</t>
  </si>
  <si>
    <t>Ashwini SIP</t>
  </si>
  <si>
    <t>Gas</t>
  </si>
  <si>
    <t xml:space="preserve">Festival </t>
  </si>
  <si>
    <t>Sachin PF</t>
  </si>
  <si>
    <t>Groceries</t>
  </si>
  <si>
    <t>Trip and Other</t>
  </si>
  <si>
    <t>Sachin SIP</t>
  </si>
  <si>
    <t>House Help / Maid Salary</t>
  </si>
  <si>
    <t>Phone / Mobile Bill</t>
  </si>
  <si>
    <t>Nearly Amount</t>
  </si>
  <si>
    <t>Society Maintenance</t>
  </si>
  <si>
    <t>Krishnali School</t>
  </si>
  <si>
    <t>Home Loan EMI</t>
  </si>
  <si>
    <t>Sports</t>
  </si>
  <si>
    <t>Doctors</t>
  </si>
  <si>
    <t>Medicine</t>
  </si>
  <si>
    <t xml:space="preserve">Gym </t>
  </si>
  <si>
    <t>Other Expenses</t>
  </si>
  <si>
    <t xml:space="preserve">SIP </t>
  </si>
  <si>
    <t>krishna tansport uber</t>
  </si>
  <si>
    <t>सचिन अंगठी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</si>
</sst>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theme="0" tint="-0.14996795556505021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44">
    <xf numFmtId="0" fontId="0" fillId="0" borderId="0" xfId="0"/>
    <xf numFmtId="0" fontId="2" fillId="0" borderId="0" xfId="0" applyFont="1"/>
    <xf numFmtId="0" fontId="0" fillId="3" borderId="7" xfId="0" applyFill="1" applyBorder="1"/>
    <xf numFmtId="0" fontId="0" fillId="3" borderId="8" xfId="0" applyFill="1" applyBorder="1"/>
    <xf numFmtId="0" fontId="1" fillId="4" borderId="9" xfId="0" applyFont="1" applyFill="1" applyBorder="1"/>
    <xf numFmtId="0" fontId="1" fillId="4" borderId="10" xfId="0" applyFont="1" applyFill="1" applyBorder="1"/>
    <xf numFmtId="0" fontId="1" fillId="4" borderId="11" xfId="0" applyFont="1" applyFill="1" applyBorder="1"/>
    <xf numFmtId="0" fontId="0" fillId="0" borderId="0" xfId="0" applyAlignment="1">
      <alignment horizontal="left"/>
    </xf>
    <xf numFmtId="0" fontId="0" fillId="3" borderId="17" xfId="0" applyFill="1" applyBorder="1"/>
    <xf numFmtId="0" fontId="0" fillId="2" borderId="1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5" borderId="1" xfId="0" applyFont="1" applyFill="1" applyBorder="1"/>
    <xf numFmtId="0" fontId="2" fillId="5" borderId="3" xfId="0" applyFont="1" applyFill="1" applyBorder="1"/>
    <xf numFmtId="0" fontId="2" fillId="5" borderId="14" xfId="0" applyFont="1" applyFill="1" applyBorder="1"/>
    <xf numFmtId="0" fontId="1" fillId="4" borderId="7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0" fillId="5" borderId="7" xfId="0" applyFill="1" applyBorder="1"/>
    <xf numFmtId="0" fontId="0" fillId="5" borderId="17" xfId="0" applyFill="1" applyBorder="1"/>
    <xf numFmtId="0" fontId="0" fillId="5" borderId="8" xfId="0" applyFill="1" applyBorder="1"/>
    <xf numFmtId="0" fontId="0" fillId="5" borderId="12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3" borderId="14" xfId="0" applyFill="1" applyBorder="1"/>
    <xf numFmtId="0" fontId="0" fillId="3" borderId="16" xfId="0" applyFill="1" applyBorder="1"/>
    <xf numFmtId="0" fontId="3" fillId="0" borderId="0" xfId="0" applyFont="1"/>
    <xf numFmtId="0" fontId="4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1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3" borderId="7" xfId="0" applyFont="1" applyFill="1" applyBorder="1"/>
    <xf numFmtId="0" fontId="3" fillId="3" borderId="8" xfId="0" applyFont="1" applyFill="1" applyBorder="1"/>
    <xf numFmtId="0" fontId="3" fillId="2" borderId="13" xfId="0" applyFont="1" applyFill="1" applyBorder="1"/>
    <xf numFmtId="0" fontId="3" fillId="2" borderId="21" xfId="0" applyFont="1" applyFill="1" applyBorder="1"/>
    <xf numFmtId="0" fontId="4" fillId="3" borderId="17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2" borderId="23" xfId="0" applyFont="1" applyFill="1" applyBorder="1"/>
    <xf numFmtId="0" fontId="4" fillId="2" borderId="25" xfId="0" applyFont="1" applyFill="1" applyBorder="1"/>
    <xf numFmtId="0" fontId="4" fillId="2" borderId="20" xfId="0" applyFont="1" applyFill="1" applyBorder="1"/>
    <xf numFmtId="0" fontId="1" fillId="4" borderId="2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17" fontId="1" fillId="4" borderId="10" xfId="0" applyNumberFormat="1" applyFont="1" applyFill="1" applyBorder="1" applyAlignment="1">
      <alignment horizontal="center" vertical="center"/>
    </xf>
    <xf numFmtId="17" fontId="1" fillId="4" borderId="29" xfId="0" applyNumberFormat="1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0" fillId="8" borderId="3" xfId="0" applyFill="1" applyBorder="1"/>
    <xf numFmtId="0" fontId="0" fillId="8" borderId="13" xfId="0" applyFill="1" applyBorder="1"/>
    <xf numFmtId="0" fontId="0" fillId="8" borderId="4" xfId="0" applyFill="1" applyBorder="1"/>
    <xf numFmtId="0" fontId="0" fillId="8" borderId="14" xfId="0" applyFill="1" applyBorder="1"/>
    <xf numFmtId="0" fontId="0" fillId="8" borderId="15" xfId="0" applyFill="1" applyBorder="1"/>
    <xf numFmtId="0" fontId="0" fillId="8" borderId="16" xfId="0" applyFill="1" applyBorder="1"/>
    <xf numFmtId="0" fontId="0" fillId="7" borderId="13" xfId="0" applyFill="1" applyBorder="1"/>
    <xf numFmtId="0" fontId="0" fillId="7" borderId="14" xfId="0" applyFill="1" applyBorder="1"/>
    <xf numFmtId="0" fontId="0" fillId="7" borderId="15" xfId="0" applyFill="1" applyBorder="1"/>
    <xf numFmtId="0" fontId="0" fillId="7" borderId="16" xfId="0" applyFill="1" applyBorder="1"/>
    <xf numFmtId="0" fontId="1" fillId="4" borderId="17" xfId="0" applyFont="1" applyFill="1" applyBorder="1"/>
    <xf numFmtId="0" fontId="0" fillId="4" borderId="17" xfId="0" applyFill="1" applyBorder="1"/>
    <xf numFmtId="0" fontId="0" fillId="4" borderId="18" xfId="0" applyFill="1" applyBorder="1"/>
    <xf numFmtId="0" fontId="0" fillId="4" borderId="8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0" xfId="0" applyFill="1"/>
    <xf numFmtId="0" fontId="0" fillId="5" borderId="34" xfId="0" applyFill="1" applyBorder="1"/>
    <xf numFmtId="0" fontId="0" fillId="5" borderId="35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14" xfId="0" applyFill="1" applyBorder="1"/>
    <xf numFmtId="0" fontId="0" fillId="5" borderId="16" xfId="0" applyFill="1" applyBorder="1"/>
    <xf numFmtId="0" fontId="0" fillId="5" borderId="5" xfId="0" applyFill="1" applyBorder="1"/>
    <xf numFmtId="0" fontId="0" fillId="5" borderId="6" xfId="0" applyFill="1" applyBorder="1"/>
    <xf numFmtId="164" fontId="0" fillId="10" borderId="3" xfId="0" applyNumberFormat="1" applyFill="1" applyBorder="1" applyAlignment="1" applyProtection="1">
      <alignment vertical="top"/>
      <protection locked="0"/>
    </xf>
    <xf numFmtId="0" fontId="0" fillId="5" borderId="36" xfId="0" applyFill="1" applyBorder="1"/>
    <xf numFmtId="0" fontId="0" fillId="5" borderId="37" xfId="0" applyFill="1" applyBorder="1"/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27" xfId="0" applyFont="1" applyBorder="1" applyAlignment="1">
      <alignment horizontal="center"/>
    </xf>
    <xf numFmtId="0" fontId="0" fillId="8" borderId="30" xfId="0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/>
    </xf>
    <xf numFmtId="0" fontId="1" fillId="4" borderId="3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14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5" fillId="4" borderId="7" xfId="0" applyFont="1" applyFill="1" applyBorder="1" applyAlignment="1">
      <alignment horizontal="center" wrapText="1"/>
    </xf>
    <xf numFmtId="0" fontId="5" fillId="4" borderId="17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2" fillId="5" borderId="7" xfId="0" applyFont="1" applyFill="1" applyBorder="1"/>
    <xf numFmtId="0" fontId="2" fillId="5" borderId="8" xfId="0" applyFont="1" applyFill="1" applyBorder="1"/>
    <xf numFmtId="0" fontId="0" fillId="8" borderId="1" xfId="0" applyFill="1" applyBorder="1"/>
    <xf numFmtId="0" fontId="0" fillId="8" borderId="12" xfId="0" applyFill="1" applyBorder="1"/>
    <xf numFmtId="0" fontId="0" fillId="8" borderId="2" xfId="0" applyFill="1" applyBorder="1"/>
    <xf numFmtId="0" fontId="2" fillId="9" borderId="7" xfId="0" applyFont="1" applyFill="1" applyBorder="1"/>
    <xf numFmtId="0" fontId="2" fillId="9" borderId="17" xfId="0" applyFont="1" applyFill="1" applyBorder="1"/>
    <xf numFmtId="0" fontId="2" fillId="9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DB0DF-4F3B-4601-991C-C82EE64D4B45}">
  <dimension ref="B1:R34"/>
  <sheetViews>
    <sheetView tabSelected="1" topLeftCell="A77" workbookViewId="0">
      <selection activeCell="G31" sqref="G31"/>
    </sheetView>
  </sheetViews>
  <sheetFormatPr defaultRowHeight="14.4" x14ac:dyDescent="0.3"/>
  <cols>
    <col min="2" max="2" width="15.109375" customWidth="1"/>
    <col min="3" max="4" width="8" bestFit="1" customWidth="1"/>
    <col min="5" max="5" width="9.6640625" bestFit="1" customWidth="1"/>
    <col min="6" max="6" width="7" bestFit="1" customWidth="1"/>
    <col min="7" max="7" width="7.5546875" bestFit="1" customWidth="1"/>
    <col min="8" max="8" width="9.6640625" bestFit="1" customWidth="1"/>
    <col min="9" max="9" width="8" bestFit="1" customWidth="1"/>
    <col min="12" max="12" width="12.88671875" bestFit="1" customWidth="1"/>
  </cols>
  <sheetData>
    <row r="1" spans="2:18" ht="15" thickBot="1" x14ac:dyDescent="0.35">
      <c r="B1" s="106" t="s">
        <v>42</v>
      </c>
      <c r="C1" s="106"/>
      <c r="D1" s="106"/>
      <c r="E1" s="27"/>
      <c r="L1" s="1" t="s">
        <v>16</v>
      </c>
    </row>
    <row r="2" spans="2:18" ht="15" thickBot="1" x14ac:dyDescent="0.35">
      <c r="B2" s="1"/>
      <c r="C2" s="105">
        <v>2025</v>
      </c>
      <c r="D2" s="105"/>
      <c r="E2" s="18"/>
      <c r="F2" s="105">
        <v>2026</v>
      </c>
      <c r="G2" s="105"/>
      <c r="L2" s="22" t="s">
        <v>18</v>
      </c>
      <c r="M2" s="23">
        <v>2022</v>
      </c>
      <c r="N2" s="23">
        <v>2023</v>
      </c>
      <c r="O2" s="23">
        <v>2024</v>
      </c>
      <c r="P2" s="24">
        <v>2025</v>
      </c>
      <c r="Q2" s="25">
        <v>2026</v>
      </c>
      <c r="R2" s="26" t="s">
        <v>7</v>
      </c>
    </row>
    <row r="3" spans="2:18" ht="15" thickBot="1" x14ac:dyDescent="0.35">
      <c r="B3" s="4" t="s">
        <v>18</v>
      </c>
      <c r="C3" s="5" t="s">
        <v>5</v>
      </c>
      <c r="D3" s="5" t="s">
        <v>4</v>
      </c>
      <c r="E3" s="5" t="s">
        <v>43</v>
      </c>
      <c r="F3" s="5" t="s">
        <v>5</v>
      </c>
      <c r="G3" s="5" t="s">
        <v>4</v>
      </c>
      <c r="H3" s="5" t="s">
        <v>44</v>
      </c>
      <c r="I3" s="6" t="s">
        <v>7</v>
      </c>
      <c r="L3" s="15" t="s">
        <v>20</v>
      </c>
      <c r="M3" s="9">
        <v>0</v>
      </c>
      <c r="N3" s="9">
        <v>155628</v>
      </c>
      <c r="O3" s="9">
        <v>123926</v>
      </c>
      <c r="P3" s="9">
        <v>223648</v>
      </c>
      <c r="Q3" s="9">
        <v>373767</v>
      </c>
      <c r="R3" s="10">
        <f>SUM(M3:Q3)</f>
        <v>876969</v>
      </c>
    </row>
    <row r="4" spans="2:18" x14ac:dyDescent="0.3">
      <c r="B4" s="19" t="s">
        <v>20</v>
      </c>
      <c r="C4" s="31">
        <v>106939</v>
      </c>
      <c r="D4" s="31">
        <v>108767</v>
      </c>
      <c r="E4" s="32">
        <f>SUM(C4:D4)</f>
        <v>215706</v>
      </c>
      <c r="F4" s="31">
        <v>110789</v>
      </c>
      <c r="G4" s="31">
        <v>173066</v>
      </c>
      <c r="H4" s="32">
        <f>SUM(F4:G4)</f>
        <v>283855</v>
      </c>
      <c r="I4" s="33">
        <f>SUM(E4+H4)</f>
        <v>499561</v>
      </c>
      <c r="L4" s="16" t="s">
        <v>22</v>
      </c>
      <c r="M4" s="11">
        <v>0</v>
      </c>
      <c r="N4" s="11">
        <v>156952</v>
      </c>
      <c r="O4" s="11">
        <v>133464</v>
      </c>
      <c r="P4" s="11">
        <v>203595</v>
      </c>
      <c r="Q4" s="11">
        <v>308577</v>
      </c>
      <c r="R4" s="12">
        <f t="shared" ref="R4:R14" si="0">SUM(M4:Q4)</f>
        <v>802588</v>
      </c>
    </row>
    <row r="5" spans="2:18" x14ac:dyDescent="0.3">
      <c r="B5" s="20" t="s">
        <v>22</v>
      </c>
      <c r="C5" s="34">
        <v>106846</v>
      </c>
      <c r="D5" s="34">
        <v>116221</v>
      </c>
      <c r="E5" s="35">
        <f t="shared" ref="E5:E15" si="1">SUM(C5:D5)</f>
        <v>223067</v>
      </c>
      <c r="F5" s="34">
        <v>109888</v>
      </c>
      <c r="G5" s="34">
        <v>134159</v>
      </c>
      <c r="H5" s="35">
        <f t="shared" ref="H5:H15" si="2">SUM(F5:G5)</f>
        <v>244047</v>
      </c>
      <c r="I5" s="36">
        <f t="shared" ref="I5:I15" si="3">SUM(E5+H5)</f>
        <v>467114</v>
      </c>
      <c r="L5" s="16" t="s">
        <v>24</v>
      </c>
      <c r="M5" s="11">
        <v>0</v>
      </c>
      <c r="N5" s="11">
        <v>140137</v>
      </c>
      <c r="O5" s="11">
        <v>219196</v>
      </c>
      <c r="P5" s="11">
        <v>278040</v>
      </c>
      <c r="Q5" s="11">
        <v>235263</v>
      </c>
      <c r="R5" s="12">
        <f t="shared" si="0"/>
        <v>872636</v>
      </c>
    </row>
    <row r="6" spans="2:18" x14ac:dyDescent="0.3">
      <c r="B6" s="20" t="s">
        <v>24</v>
      </c>
      <c r="C6" s="34">
        <v>107246</v>
      </c>
      <c r="D6" s="34">
        <v>97627</v>
      </c>
      <c r="E6" s="35">
        <f t="shared" si="1"/>
        <v>204873</v>
      </c>
      <c r="F6" s="34">
        <v>110489</v>
      </c>
      <c r="G6" s="34">
        <v>107944</v>
      </c>
      <c r="H6" s="35">
        <f t="shared" si="2"/>
        <v>218433</v>
      </c>
      <c r="I6" s="36">
        <f t="shared" si="3"/>
        <v>423306</v>
      </c>
      <c r="L6" s="16" t="s">
        <v>25</v>
      </c>
      <c r="M6" s="11">
        <v>0</v>
      </c>
      <c r="N6" s="11">
        <v>96035</v>
      </c>
      <c r="O6" s="11">
        <v>293548</v>
      </c>
      <c r="P6" s="11">
        <v>184422</v>
      </c>
      <c r="Q6" s="11">
        <v>223254</v>
      </c>
      <c r="R6" s="12">
        <f t="shared" si="0"/>
        <v>797259</v>
      </c>
    </row>
    <row r="7" spans="2:18" x14ac:dyDescent="0.3">
      <c r="B7" s="20" t="s">
        <v>25</v>
      </c>
      <c r="C7" s="34">
        <v>100615</v>
      </c>
      <c r="D7" s="34">
        <v>123445</v>
      </c>
      <c r="E7" s="35">
        <f t="shared" si="1"/>
        <v>224060</v>
      </c>
      <c r="F7" s="34">
        <v>110489</v>
      </c>
      <c r="G7" s="34">
        <v>129718</v>
      </c>
      <c r="H7" s="35">
        <f t="shared" si="2"/>
        <v>240207</v>
      </c>
      <c r="I7" s="36">
        <f t="shared" si="3"/>
        <v>464267</v>
      </c>
      <c r="L7" s="16" t="s">
        <v>26</v>
      </c>
      <c r="M7" s="11">
        <v>0</v>
      </c>
      <c r="N7" s="11">
        <v>108991</v>
      </c>
      <c r="O7" s="11">
        <v>305631</v>
      </c>
      <c r="P7" s="11">
        <v>272968</v>
      </c>
      <c r="Q7" s="11">
        <v>190875</v>
      </c>
      <c r="R7" s="12">
        <f t="shared" si="0"/>
        <v>878465</v>
      </c>
    </row>
    <row r="8" spans="2:18" x14ac:dyDescent="0.3">
      <c r="B8" s="20" t="s">
        <v>26</v>
      </c>
      <c r="C8" s="34">
        <v>100615</v>
      </c>
      <c r="D8" s="34">
        <v>123366</v>
      </c>
      <c r="E8" s="35">
        <f t="shared" si="1"/>
        <v>223981</v>
      </c>
      <c r="F8" s="34">
        <v>84197</v>
      </c>
      <c r="G8" s="34">
        <v>143091</v>
      </c>
      <c r="H8" s="35">
        <f t="shared" si="2"/>
        <v>227288</v>
      </c>
      <c r="I8" s="36">
        <f t="shared" si="3"/>
        <v>451269</v>
      </c>
      <c r="L8" s="16" t="s">
        <v>27</v>
      </c>
      <c r="M8" s="11">
        <v>0</v>
      </c>
      <c r="N8" s="11">
        <v>86370</v>
      </c>
      <c r="O8" s="11">
        <v>206306</v>
      </c>
      <c r="P8" s="11">
        <v>193261</v>
      </c>
      <c r="Q8" s="11">
        <v>209632</v>
      </c>
      <c r="R8" s="12">
        <f t="shared" si="0"/>
        <v>695569</v>
      </c>
    </row>
    <row r="9" spans="2:18" x14ac:dyDescent="0.3">
      <c r="B9" s="20" t="s">
        <v>27</v>
      </c>
      <c r="C9" s="34">
        <v>134982</v>
      </c>
      <c r="D9" s="34">
        <v>104571</v>
      </c>
      <c r="E9" s="35">
        <f t="shared" si="1"/>
        <v>239553</v>
      </c>
      <c r="F9" s="34">
        <v>222726</v>
      </c>
      <c r="G9" s="34">
        <v>122191</v>
      </c>
      <c r="H9" s="35">
        <f t="shared" si="2"/>
        <v>344917</v>
      </c>
      <c r="I9" s="36">
        <f t="shared" si="3"/>
        <v>584470</v>
      </c>
      <c r="L9" s="16" t="s">
        <v>29</v>
      </c>
      <c r="M9" s="11">
        <v>0</v>
      </c>
      <c r="N9" s="11">
        <v>472023</v>
      </c>
      <c r="O9" s="11">
        <v>112029</v>
      </c>
      <c r="P9" s="11">
        <v>255031</v>
      </c>
      <c r="Q9" s="11">
        <v>303580</v>
      </c>
      <c r="R9" s="12">
        <f t="shared" si="0"/>
        <v>1142663</v>
      </c>
    </row>
    <row r="10" spans="2:18" x14ac:dyDescent="0.3">
      <c r="B10" s="20" t="s">
        <v>29</v>
      </c>
      <c r="C10" s="34">
        <v>92747</v>
      </c>
      <c r="D10" s="34">
        <v>102500</v>
      </c>
      <c r="E10" s="35">
        <f t="shared" si="1"/>
        <v>195247</v>
      </c>
      <c r="F10" s="34">
        <v>98326</v>
      </c>
      <c r="G10" s="34">
        <v>145490</v>
      </c>
      <c r="H10" s="35">
        <f t="shared" si="2"/>
        <v>243816</v>
      </c>
      <c r="I10" s="36">
        <f t="shared" si="3"/>
        <v>439063</v>
      </c>
      <c r="L10" s="16" t="s">
        <v>31</v>
      </c>
      <c r="M10" s="11">
        <v>0</v>
      </c>
      <c r="N10" s="11">
        <v>138307</v>
      </c>
      <c r="O10" s="11">
        <v>144783</v>
      </c>
      <c r="P10" s="11">
        <v>352433</v>
      </c>
      <c r="Q10" s="11"/>
      <c r="R10" s="12">
        <f t="shared" si="0"/>
        <v>635523</v>
      </c>
    </row>
    <row r="11" spans="2:18" x14ac:dyDescent="0.3">
      <c r="B11" s="20" t="s">
        <v>31</v>
      </c>
      <c r="C11" s="34">
        <v>92745</v>
      </c>
      <c r="D11" s="34">
        <v>102421</v>
      </c>
      <c r="E11" s="35">
        <f t="shared" si="1"/>
        <v>195166</v>
      </c>
      <c r="F11" s="34"/>
      <c r="G11" s="34"/>
      <c r="H11" s="35">
        <f t="shared" si="2"/>
        <v>0</v>
      </c>
      <c r="I11" s="36">
        <f t="shared" si="3"/>
        <v>195166</v>
      </c>
      <c r="L11" s="16" t="s">
        <v>33</v>
      </c>
      <c r="M11" s="11">
        <v>157921</v>
      </c>
      <c r="N11" s="11">
        <v>585981</v>
      </c>
      <c r="O11" s="11">
        <v>146024</v>
      </c>
      <c r="P11" s="11">
        <v>245632</v>
      </c>
      <c r="Q11" s="11"/>
      <c r="R11" s="12">
        <f t="shared" si="0"/>
        <v>1135558</v>
      </c>
    </row>
    <row r="12" spans="2:18" x14ac:dyDescent="0.3">
      <c r="B12" s="20" t="s">
        <v>33</v>
      </c>
      <c r="C12" s="34">
        <v>110789</v>
      </c>
      <c r="D12" s="34">
        <v>102413</v>
      </c>
      <c r="E12" s="35">
        <f t="shared" si="1"/>
        <v>213202</v>
      </c>
      <c r="F12" s="34"/>
      <c r="G12" s="34"/>
      <c r="H12" s="35">
        <f t="shared" si="2"/>
        <v>0</v>
      </c>
      <c r="I12" s="36">
        <f t="shared" si="3"/>
        <v>213202</v>
      </c>
      <c r="L12" s="16" t="s">
        <v>35</v>
      </c>
      <c r="M12" s="11">
        <v>135210</v>
      </c>
      <c r="N12" s="11">
        <v>153909</v>
      </c>
      <c r="O12" s="11">
        <v>252832</v>
      </c>
      <c r="P12" s="11">
        <v>439750</v>
      </c>
      <c r="Q12" s="11"/>
      <c r="R12" s="12">
        <f t="shared" si="0"/>
        <v>981701</v>
      </c>
    </row>
    <row r="13" spans="2:18" x14ac:dyDescent="0.3">
      <c r="B13" s="20" t="s">
        <v>35</v>
      </c>
      <c r="C13" s="34">
        <v>109989</v>
      </c>
      <c r="D13" s="34">
        <v>102388</v>
      </c>
      <c r="E13" s="35">
        <f t="shared" si="1"/>
        <v>212377</v>
      </c>
      <c r="F13" s="34"/>
      <c r="G13" s="34"/>
      <c r="H13" s="35">
        <f t="shared" si="2"/>
        <v>0</v>
      </c>
      <c r="I13" s="36">
        <f t="shared" si="3"/>
        <v>212377</v>
      </c>
      <c r="L13" s="16" t="s">
        <v>37</v>
      </c>
      <c r="M13" s="11">
        <v>198645</v>
      </c>
      <c r="N13" s="11">
        <v>119216</v>
      </c>
      <c r="O13" s="11">
        <v>771903</v>
      </c>
      <c r="P13" s="11">
        <v>746823</v>
      </c>
      <c r="Q13" s="11"/>
      <c r="R13" s="12">
        <f t="shared" si="0"/>
        <v>1836587</v>
      </c>
    </row>
    <row r="14" spans="2:18" ht="15" thickBot="1" x14ac:dyDescent="0.35">
      <c r="B14" s="20" t="s">
        <v>37</v>
      </c>
      <c r="C14" s="34">
        <v>109989</v>
      </c>
      <c r="D14" s="34">
        <v>102640</v>
      </c>
      <c r="E14" s="35">
        <f t="shared" si="1"/>
        <v>212629</v>
      </c>
      <c r="F14" s="34"/>
      <c r="G14" s="34"/>
      <c r="H14" s="35">
        <f t="shared" si="2"/>
        <v>0</v>
      </c>
      <c r="I14" s="36">
        <f t="shared" si="3"/>
        <v>212629</v>
      </c>
      <c r="L14" s="17" t="s">
        <v>39</v>
      </c>
      <c r="M14" s="13">
        <v>144787</v>
      </c>
      <c r="N14" s="13">
        <v>133991</v>
      </c>
      <c r="O14" s="13">
        <v>170092</v>
      </c>
      <c r="P14" s="13">
        <v>226858</v>
      </c>
      <c r="Q14" s="13"/>
      <c r="R14" s="14">
        <f t="shared" si="0"/>
        <v>675728</v>
      </c>
    </row>
    <row r="15" spans="2:18" ht="15" thickBot="1" x14ac:dyDescent="0.35">
      <c r="B15" s="21" t="s">
        <v>39</v>
      </c>
      <c r="C15" s="37">
        <v>110464</v>
      </c>
      <c r="D15" s="37">
        <v>104975</v>
      </c>
      <c r="E15" s="38">
        <f t="shared" si="1"/>
        <v>215439</v>
      </c>
      <c r="F15" s="37"/>
      <c r="G15" s="37"/>
      <c r="H15" s="38">
        <f t="shared" si="2"/>
        <v>0</v>
      </c>
      <c r="I15" s="39">
        <f t="shared" si="3"/>
        <v>215439</v>
      </c>
      <c r="L15" s="2" t="s">
        <v>7</v>
      </c>
      <c r="M15" s="8">
        <f>SUM(M3:M14)</f>
        <v>636563</v>
      </c>
      <c r="N15" s="8">
        <f t="shared" ref="N15:Q15" si="4">SUM(N3:N14)</f>
        <v>2347540</v>
      </c>
      <c r="O15" s="8">
        <f t="shared" si="4"/>
        <v>2879734</v>
      </c>
      <c r="P15" s="8">
        <f t="shared" si="4"/>
        <v>3622461</v>
      </c>
      <c r="Q15" s="8">
        <f t="shared" si="4"/>
        <v>1844948</v>
      </c>
      <c r="R15" s="3">
        <f>SUM(R3:R14)</f>
        <v>11331246</v>
      </c>
    </row>
    <row r="16" spans="2:18" ht="15" thickBot="1" x14ac:dyDescent="0.35">
      <c r="B16" s="28" t="s">
        <v>7</v>
      </c>
      <c r="C16" s="29">
        <f>SUM(C4:C15)</f>
        <v>1283966</v>
      </c>
      <c r="D16" s="29">
        <f>SUM(D4:D15)</f>
        <v>1291334</v>
      </c>
      <c r="E16" s="29">
        <f>SUM(C16+D16)</f>
        <v>2575300</v>
      </c>
      <c r="F16" s="29">
        <f>SUM(F4:F15)</f>
        <v>846904</v>
      </c>
      <c r="G16" s="29">
        <f>SUM(G4:G15)</f>
        <v>955659</v>
      </c>
      <c r="H16" s="29">
        <f>SUM(F16:G16)</f>
        <v>1802563</v>
      </c>
      <c r="I16" s="30">
        <f>SUM(I4:I15)</f>
        <v>4377863</v>
      </c>
    </row>
    <row r="20" spans="2:4" ht="15" thickBot="1" x14ac:dyDescent="0.35">
      <c r="B20" s="1" t="s">
        <v>17</v>
      </c>
    </row>
    <row r="21" spans="2:4" x14ac:dyDescent="0.3">
      <c r="B21" s="40" t="s">
        <v>21</v>
      </c>
      <c r="C21" s="41">
        <v>79800</v>
      </c>
    </row>
    <row r="22" spans="2:4" x14ac:dyDescent="0.3">
      <c r="B22" s="42" t="s">
        <v>46</v>
      </c>
      <c r="C22" s="43">
        <v>50000</v>
      </c>
    </row>
    <row r="23" spans="2:4" x14ac:dyDescent="0.3">
      <c r="B23" s="42" t="s">
        <v>23</v>
      </c>
      <c r="C23" s="43">
        <v>35000</v>
      </c>
      <c r="D23" t="s">
        <v>45</v>
      </c>
    </row>
    <row r="24" spans="2:4" x14ac:dyDescent="0.3">
      <c r="B24" s="42" t="s">
        <v>38</v>
      </c>
      <c r="C24" s="43">
        <v>12000</v>
      </c>
      <c r="D24" s="7"/>
    </row>
    <row r="25" spans="2:4" x14ac:dyDescent="0.3">
      <c r="B25" s="42" t="s">
        <v>23</v>
      </c>
      <c r="C25" s="43">
        <v>11500</v>
      </c>
      <c r="D25" s="7"/>
    </row>
    <row r="26" spans="2:4" x14ac:dyDescent="0.3">
      <c r="B26" s="42" t="s">
        <v>19</v>
      </c>
      <c r="C26" s="43">
        <v>11000</v>
      </c>
      <c r="D26" s="7"/>
    </row>
    <row r="27" spans="2:4" x14ac:dyDescent="0.3">
      <c r="B27" s="42" t="s">
        <v>32</v>
      </c>
      <c r="C27" s="43">
        <v>10000</v>
      </c>
      <c r="D27" s="7"/>
    </row>
    <row r="28" spans="2:4" x14ac:dyDescent="0.3">
      <c r="B28" s="42" t="s">
        <v>36</v>
      </c>
      <c r="C28" s="43">
        <v>10000</v>
      </c>
      <c r="D28" s="7"/>
    </row>
    <row r="29" spans="2:4" x14ac:dyDescent="0.3">
      <c r="B29" s="42" t="s">
        <v>41</v>
      </c>
      <c r="C29" s="43">
        <v>10000</v>
      </c>
      <c r="D29" s="7"/>
    </row>
    <row r="30" spans="2:4" x14ac:dyDescent="0.3">
      <c r="B30" s="42" t="s">
        <v>34</v>
      </c>
      <c r="C30" s="43">
        <v>6450</v>
      </c>
      <c r="D30" s="7"/>
    </row>
    <row r="31" spans="2:4" x14ac:dyDescent="0.3">
      <c r="B31" s="42" t="s">
        <v>30</v>
      </c>
      <c r="C31" s="43">
        <v>5000</v>
      </c>
    </row>
    <row r="32" spans="2:4" x14ac:dyDescent="0.3">
      <c r="B32" s="42" t="s">
        <v>40</v>
      </c>
      <c r="C32" s="43">
        <v>3000</v>
      </c>
    </row>
    <row r="33" spans="2:3" x14ac:dyDescent="0.3">
      <c r="B33" s="42" t="s">
        <v>28</v>
      </c>
      <c r="C33" s="43">
        <v>1100</v>
      </c>
    </row>
    <row r="34" spans="2:3" ht="15" thickBot="1" x14ac:dyDescent="0.35">
      <c r="B34" s="44" t="s">
        <v>7</v>
      </c>
      <c r="C34" s="45">
        <f>SUM(C21:C33)</f>
        <v>244850</v>
      </c>
    </row>
  </sheetData>
  <mergeCells count="3">
    <mergeCell ref="F2:G2"/>
    <mergeCell ref="C2:D2"/>
    <mergeCell ref="B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5DFCF-EF07-4CA9-9354-6D560BEB24C9}">
  <dimension ref="D1:N20"/>
  <sheetViews>
    <sheetView workbookViewId="0">
      <selection activeCell="G16" sqref="G16"/>
    </sheetView>
  </sheetViews>
  <sheetFormatPr defaultRowHeight="14.4" x14ac:dyDescent="0.3"/>
  <cols>
    <col min="4" max="4" width="37.33203125" bestFit="1" customWidth="1"/>
    <col min="5" max="5" width="7.21875" bestFit="1" customWidth="1"/>
    <col min="7" max="7" width="17.44140625" bestFit="1" customWidth="1"/>
    <col min="8" max="8" width="13.88671875" customWidth="1"/>
    <col min="10" max="10" width="13.21875" bestFit="1" customWidth="1"/>
  </cols>
  <sheetData>
    <row r="1" spans="4:14" ht="15" thickBot="1" x14ac:dyDescent="0.35"/>
    <row r="2" spans="4:14" ht="15" thickBot="1" x14ac:dyDescent="0.35">
      <c r="D2" s="101" t="s">
        <v>89</v>
      </c>
      <c r="E2" s="102"/>
      <c r="G2" s="103" t="s">
        <v>90</v>
      </c>
      <c r="H2" s="104"/>
      <c r="J2" s="101" t="s">
        <v>91</v>
      </c>
      <c r="K2" s="102"/>
      <c r="L2" s="1"/>
      <c r="N2" s="1"/>
    </row>
    <row r="3" spans="4:14" x14ac:dyDescent="0.3">
      <c r="D3" s="87" t="s">
        <v>92</v>
      </c>
      <c r="E3" s="88">
        <v>4000</v>
      </c>
      <c r="G3" s="87" t="s">
        <v>93</v>
      </c>
      <c r="H3" s="88">
        <v>40000</v>
      </c>
      <c r="I3" s="89"/>
      <c r="J3" s="90" t="s">
        <v>94</v>
      </c>
      <c r="K3" s="91">
        <v>16144</v>
      </c>
    </row>
    <row r="4" spans="4:14" x14ac:dyDescent="0.3">
      <c r="D4" s="92" t="s">
        <v>95</v>
      </c>
      <c r="E4" s="93">
        <v>2000</v>
      </c>
      <c r="G4" s="92" t="s">
        <v>96</v>
      </c>
      <c r="H4" s="93">
        <v>230000</v>
      </c>
      <c r="I4" s="89"/>
      <c r="J4" s="92" t="s">
        <v>99</v>
      </c>
      <c r="K4" s="93">
        <v>0</v>
      </c>
    </row>
    <row r="5" spans="4:14" x14ac:dyDescent="0.3">
      <c r="D5" s="92" t="s">
        <v>97</v>
      </c>
      <c r="E5" s="93">
        <v>2400</v>
      </c>
      <c r="G5" s="92" t="s">
        <v>98</v>
      </c>
      <c r="H5" s="93">
        <v>150000</v>
      </c>
      <c r="I5" s="89"/>
      <c r="J5" s="92" t="s">
        <v>102</v>
      </c>
      <c r="K5" s="93">
        <v>10638</v>
      </c>
    </row>
    <row r="6" spans="4:14" x14ac:dyDescent="0.3">
      <c r="D6" s="92" t="s">
        <v>100</v>
      </c>
      <c r="E6" s="93">
        <v>1000</v>
      </c>
      <c r="G6" s="92" t="s">
        <v>101</v>
      </c>
      <c r="H6" s="93">
        <v>50000</v>
      </c>
      <c r="I6" s="89"/>
      <c r="J6" s="92" t="s">
        <v>105</v>
      </c>
      <c r="K6" s="93">
        <v>0</v>
      </c>
    </row>
    <row r="7" spans="4:14" x14ac:dyDescent="0.3">
      <c r="D7" s="92" t="s">
        <v>103</v>
      </c>
      <c r="E7" s="93">
        <v>3000</v>
      </c>
      <c r="G7" s="92" t="s">
        <v>104</v>
      </c>
      <c r="H7" s="93">
        <v>60000</v>
      </c>
      <c r="I7" s="89"/>
      <c r="J7" s="92"/>
      <c r="K7" s="93"/>
    </row>
    <row r="8" spans="4:14" ht="15" thickBot="1" x14ac:dyDescent="0.35">
      <c r="D8" s="92" t="s">
        <v>106</v>
      </c>
      <c r="E8" s="93">
        <v>8000</v>
      </c>
      <c r="G8" s="94" t="s">
        <v>7</v>
      </c>
      <c r="H8" s="95">
        <f>SUM(H3:H7)</f>
        <v>530000</v>
      </c>
      <c r="I8" s="89"/>
      <c r="J8" s="96"/>
      <c r="K8" s="97"/>
    </row>
    <row r="9" spans="4:14" ht="15" thickBot="1" x14ac:dyDescent="0.35">
      <c r="D9" s="92" t="s">
        <v>107</v>
      </c>
      <c r="E9" s="93">
        <v>800</v>
      </c>
      <c r="G9" s="136" t="s">
        <v>108</v>
      </c>
      <c r="H9" s="137">
        <v>600000</v>
      </c>
      <c r="I9" s="89"/>
      <c r="J9" s="96"/>
      <c r="K9" s="97"/>
    </row>
    <row r="10" spans="4:14" ht="15" thickBot="1" x14ac:dyDescent="0.35">
      <c r="D10" s="92" t="s">
        <v>109</v>
      </c>
      <c r="E10" s="93">
        <v>4300</v>
      </c>
      <c r="G10" s="89"/>
      <c r="H10" s="89"/>
      <c r="I10" s="89"/>
      <c r="J10" s="136" t="s">
        <v>7</v>
      </c>
      <c r="K10" s="137">
        <f>SUM(K3:K9)</f>
        <v>26782</v>
      </c>
    </row>
    <row r="11" spans="4:14" x14ac:dyDescent="0.3">
      <c r="D11" s="92" t="s">
        <v>110</v>
      </c>
      <c r="E11" s="93">
        <v>15000</v>
      </c>
    </row>
    <row r="12" spans="4:14" x14ac:dyDescent="0.3">
      <c r="D12" s="92" t="s">
        <v>111</v>
      </c>
      <c r="E12" s="93">
        <v>67000</v>
      </c>
    </row>
    <row r="13" spans="4:14" x14ac:dyDescent="0.3">
      <c r="D13" s="92" t="s">
        <v>112</v>
      </c>
      <c r="E13" s="93">
        <v>3000</v>
      </c>
    </row>
    <row r="14" spans="4:14" x14ac:dyDescent="0.3">
      <c r="D14" s="92" t="s">
        <v>113</v>
      </c>
      <c r="E14" s="93">
        <v>2000</v>
      </c>
    </row>
    <row r="15" spans="4:14" x14ac:dyDescent="0.3">
      <c r="D15" s="98" t="s">
        <v>114</v>
      </c>
      <c r="E15" s="93">
        <v>2000</v>
      </c>
    </row>
    <row r="16" spans="4:14" x14ac:dyDescent="0.3">
      <c r="D16" s="92" t="s">
        <v>115</v>
      </c>
      <c r="E16" s="93">
        <v>0</v>
      </c>
    </row>
    <row r="17" spans="4:11" x14ac:dyDescent="0.3">
      <c r="D17" s="92" t="s">
        <v>116</v>
      </c>
      <c r="E17" s="93">
        <v>10000</v>
      </c>
      <c r="K17" t="s">
        <v>88</v>
      </c>
    </row>
    <row r="18" spans="4:11" x14ac:dyDescent="0.3">
      <c r="D18" s="92" t="s">
        <v>117</v>
      </c>
      <c r="E18" s="93">
        <v>0</v>
      </c>
    </row>
    <row r="19" spans="4:11" ht="15" thickBot="1" x14ac:dyDescent="0.35">
      <c r="D19" s="99" t="s">
        <v>118</v>
      </c>
      <c r="E19" s="100">
        <v>3500</v>
      </c>
    </row>
    <row r="20" spans="4:11" ht="15" thickBot="1" x14ac:dyDescent="0.35">
      <c r="D20" s="136" t="s">
        <v>7</v>
      </c>
      <c r="E20" s="137">
        <f>SUM(E3:E19)</f>
        <v>128000</v>
      </c>
    </row>
  </sheetData>
  <mergeCells count="3">
    <mergeCell ref="D2:E2"/>
    <mergeCell ref="G2:H2"/>
    <mergeCell ref="J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7BFFF-2C59-4918-A1DE-97C619B363B9}">
  <dimension ref="B1:P31"/>
  <sheetViews>
    <sheetView topLeftCell="A13" workbookViewId="0">
      <selection activeCell="J31" sqref="J31"/>
    </sheetView>
  </sheetViews>
  <sheetFormatPr defaultRowHeight="14.4" x14ac:dyDescent="0.3"/>
  <cols>
    <col min="3" max="3" width="20" bestFit="1" customWidth="1"/>
    <col min="4" max="4" width="11.5546875" bestFit="1" customWidth="1"/>
  </cols>
  <sheetData>
    <row r="1" spans="2:16" ht="15" thickBot="1" x14ac:dyDescent="0.35">
      <c r="C1" s="107" t="s">
        <v>62</v>
      </c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</row>
    <row r="2" spans="2:16" x14ac:dyDescent="0.3">
      <c r="B2" s="67" t="s">
        <v>63</v>
      </c>
      <c r="C2" s="68" t="s">
        <v>64</v>
      </c>
      <c r="D2" s="69" t="s">
        <v>65</v>
      </c>
      <c r="E2" s="70">
        <v>46266</v>
      </c>
      <c r="F2" s="70">
        <v>46296</v>
      </c>
      <c r="G2" s="70">
        <v>46327</v>
      </c>
      <c r="H2" s="70">
        <v>46357</v>
      </c>
      <c r="I2" s="71">
        <v>46388</v>
      </c>
      <c r="J2" s="71">
        <v>46419</v>
      </c>
      <c r="K2" s="71">
        <v>46447</v>
      </c>
      <c r="L2" s="71">
        <v>46478</v>
      </c>
      <c r="M2" s="71">
        <v>46508</v>
      </c>
      <c r="N2" s="71">
        <v>46539</v>
      </c>
      <c r="O2" s="71">
        <v>46569</v>
      </c>
      <c r="P2" s="72" t="s">
        <v>7</v>
      </c>
    </row>
    <row r="3" spans="2:16" x14ac:dyDescent="0.3">
      <c r="B3" s="108" t="s">
        <v>4</v>
      </c>
      <c r="C3" s="73" t="s">
        <v>66</v>
      </c>
      <c r="D3" s="74">
        <v>0</v>
      </c>
      <c r="E3" s="74">
        <v>0</v>
      </c>
      <c r="F3" s="74">
        <v>0</v>
      </c>
      <c r="G3" s="74">
        <v>0</v>
      </c>
      <c r="H3" s="74">
        <v>0</v>
      </c>
      <c r="I3" s="74">
        <v>0</v>
      </c>
      <c r="J3" s="74">
        <v>0</v>
      </c>
      <c r="K3" s="74">
        <v>0</v>
      </c>
      <c r="L3" s="74">
        <v>0</v>
      </c>
      <c r="M3" s="74">
        <v>0</v>
      </c>
      <c r="N3" s="74">
        <v>0</v>
      </c>
      <c r="O3" s="74">
        <v>0</v>
      </c>
      <c r="P3" s="75">
        <v>0</v>
      </c>
    </row>
    <row r="4" spans="2:16" x14ac:dyDescent="0.3">
      <c r="B4" s="108"/>
      <c r="C4" s="73" t="s">
        <v>67</v>
      </c>
      <c r="D4" s="74">
        <v>488100</v>
      </c>
      <c r="E4" s="74">
        <v>0</v>
      </c>
      <c r="F4" s="74">
        <v>0</v>
      </c>
      <c r="G4" s="74">
        <v>0</v>
      </c>
      <c r="H4" s="74">
        <v>0</v>
      </c>
      <c r="I4" s="74">
        <v>0</v>
      </c>
      <c r="J4" s="74">
        <v>0</v>
      </c>
      <c r="K4" s="74">
        <v>0</v>
      </c>
      <c r="L4" s="74">
        <v>0</v>
      </c>
      <c r="M4" s="74">
        <v>0</v>
      </c>
      <c r="N4" s="74">
        <v>0</v>
      </c>
      <c r="O4" s="74">
        <v>0</v>
      </c>
      <c r="P4" s="75">
        <f>SUM(D4:H4)</f>
        <v>488100</v>
      </c>
    </row>
    <row r="5" spans="2:16" x14ac:dyDescent="0.3">
      <c r="B5" s="108"/>
      <c r="C5" s="73" t="s">
        <v>68</v>
      </c>
      <c r="D5" s="74">
        <v>40000</v>
      </c>
      <c r="E5" s="74">
        <v>0</v>
      </c>
      <c r="F5" s="74">
        <v>0</v>
      </c>
      <c r="G5" s="74">
        <v>0</v>
      </c>
      <c r="H5" s="74">
        <v>0</v>
      </c>
      <c r="I5" s="74">
        <v>0</v>
      </c>
      <c r="J5" s="74">
        <v>0</v>
      </c>
      <c r="K5" s="74">
        <v>0</v>
      </c>
      <c r="L5" s="74">
        <v>0</v>
      </c>
      <c r="M5" s="74">
        <v>0</v>
      </c>
      <c r="N5" s="74">
        <v>0</v>
      </c>
      <c r="O5" s="74">
        <v>0</v>
      </c>
      <c r="P5" s="75">
        <f>SUM(D5:H5)</f>
        <v>40000</v>
      </c>
    </row>
    <row r="6" spans="2:16" x14ac:dyDescent="0.3">
      <c r="B6" s="108"/>
      <c r="C6" s="73" t="s">
        <v>69</v>
      </c>
      <c r="D6" s="74">
        <v>156000</v>
      </c>
      <c r="E6" s="74">
        <v>0</v>
      </c>
      <c r="F6" s="74">
        <v>0</v>
      </c>
      <c r="G6" s="74">
        <v>0</v>
      </c>
      <c r="H6" s="74">
        <v>0</v>
      </c>
      <c r="I6" s="74">
        <v>0</v>
      </c>
      <c r="J6" s="74">
        <v>0</v>
      </c>
      <c r="K6" s="74">
        <v>0</v>
      </c>
      <c r="L6" s="74">
        <v>0</v>
      </c>
      <c r="M6" s="74">
        <v>0</v>
      </c>
      <c r="N6" s="74">
        <v>0</v>
      </c>
      <c r="O6" s="74">
        <v>0</v>
      </c>
      <c r="P6" s="75">
        <f>SUM(D6:O6)</f>
        <v>156000</v>
      </c>
    </row>
    <row r="7" spans="2:16" x14ac:dyDescent="0.3">
      <c r="B7" s="108"/>
      <c r="C7" s="73" t="s">
        <v>70</v>
      </c>
      <c r="D7" s="74">
        <v>105875</v>
      </c>
      <c r="E7" s="74">
        <v>0</v>
      </c>
      <c r="F7" s="74">
        <v>0</v>
      </c>
      <c r="G7" s="74">
        <v>0</v>
      </c>
      <c r="H7" s="74">
        <v>0</v>
      </c>
      <c r="I7" s="74">
        <v>0</v>
      </c>
      <c r="J7" s="74">
        <v>0</v>
      </c>
      <c r="K7" s="74">
        <v>0</v>
      </c>
      <c r="L7" s="74">
        <v>0</v>
      </c>
      <c r="M7" s="74">
        <v>0</v>
      </c>
      <c r="N7" s="74">
        <v>0</v>
      </c>
      <c r="O7" s="74">
        <v>0</v>
      </c>
      <c r="P7" s="75"/>
    </row>
    <row r="8" spans="2:16" x14ac:dyDescent="0.3">
      <c r="B8" s="108"/>
      <c r="C8" s="73" t="s">
        <v>71</v>
      </c>
      <c r="D8" s="74">
        <v>60000</v>
      </c>
      <c r="E8" s="74">
        <v>0</v>
      </c>
      <c r="F8" s="74">
        <v>0</v>
      </c>
      <c r="G8" s="74">
        <v>0</v>
      </c>
      <c r="H8" s="74">
        <v>0</v>
      </c>
      <c r="I8" s="74">
        <v>0</v>
      </c>
      <c r="J8" s="74">
        <v>0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5">
        <f>SUM(D8:H8)</f>
        <v>60000</v>
      </c>
    </row>
    <row r="9" spans="2:16" ht="15" thickBot="1" x14ac:dyDescent="0.35">
      <c r="B9" s="109"/>
      <c r="C9" s="76" t="s">
        <v>72</v>
      </c>
      <c r="D9" s="77">
        <v>0</v>
      </c>
      <c r="E9" s="77">
        <v>0</v>
      </c>
      <c r="F9" s="77">
        <v>0</v>
      </c>
      <c r="G9" s="77">
        <v>0</v>
      </c>
      <c r="H9" s="77">
        <v>0</v>
      </c>
      <c r="I9" s="77">
        <v>0</v>
      </c>
      <c r="J9" s="77">
        <v>0</v>
      </c>
      <c r="K9" s="77">
        <v>0</v>
      </c>
      <c r="L9" s="77">
        <v>0</v>
      </c>
      <c r="M9" s="77">
        <v>0</v>
      </c>
      <c r="N9" s="77">
        <v>0</v>
      </c>
      <c r="O9" s="77">
        <v>0</v>
      </c>
      <c r="P9" s="78">
        <f>SUM(D9:O9)</f>
        <v>0</v>
      </c>
    </row>
    <row r="10" spans="2:16" x14ac:dyDescent="0.3">
      <c r="B10" s="110" t="s">
        <v>5</v>
      </c>
      <c r="C10" s="42" t="s">
        <v>66</v>
      </c>
      <c r="D10" s="79">
        <v>0</v>
      </c>
      <c r="E10" s="79">
        <v>0</v>
      </c>
      <c r="F10" s="79">
        <v>0</v>
      </c>
      <c r="G10" s="79">
        <v>0</v>
      </c>
      <c r="H10" s="79">
        <v>0</v>
      </c>
      <c r="I10" s="79">
        <v>0</v>
      </c>
      <c r="J10" s="79">
        <v>0</v>
      </c>
      <c r="K10" s="79">
        <v>0</v>
      </c>
      <c r="L10" s="79">
        <v>0</v>
      </c>
      <c r="M10" s="79">
        <v>0</v>
      </c>
      <c r="N10" s="79">
        <v>0</v>
      </c>
      <c r="O10" s="79">
        <v>0</v>
      </c>
      <c r="P10" s="43">
        <f t="shared" ref="P10:P16" si="0">SUM(D10:H10)</f>
        <v>0</v>
      </c>
    </row>
    <row r="11" spans="2:16" x14ac:dyDescent="0.3">
      <c r="B11" s="110"/>
      <c r="C11" s="42" t="s">
        <v>73</v>
      </c>
      <c r="D11" s="79">
        <v>223228</v>
      </c>
      <c r="E11" s="79">
        <v>0</v>
      </c>
      <c r="F11" s="79">
        <v>0</v>
      </c>
      <c r="G11" s="79">
        <v>0</v>
      </c>
      <c r="H11" s="79">
        <v>0</v>
      </c>
      <c r="I11" s="79">
        <v>0</v>
      </c>
      <c r="J11" s="79">
        <v>0</v>
      </c>
      <c r="K11" s="79">
        <v>0</v>
      </c>
      <c r="L11" s="79">
        <v>0</v>
      </c>
      <c r="M11" s="79">
        <v>0</v>
      </c>
      <c r="N11" s="79">
        <v>0</v>
      </c>
      <c r="O11" s="79">
        <v>0</v>
      </c>
      <c r="P11" s="43">
        <f t="shared" si="0"/>
        <v>223228</v>
      </c>
    </row>
    <row r="12" spans="2:16" x14ac:dyDescent="0.3">
      <c r="B12" s="110"/>
      <c r="C12" s="42" t="s">
        <v>68</v>
      </c>
      <c r="D12" s="79">
        <v>47000</v>
      </c>
      <c r="E12" s="79">
        <v>0</v>
      </c>
      <c r="F12" s="79">
        <v>0</v>
      </c>
      <c r="G12" s="79">
        <v>0</v>
      </c>
      <c r="H12" s="79">
        <v>0</v>
      </c>
      <c r="I12" s="79">
        <v>0</v>
      </c>
      <c r="J12" s="79">
        <v>0</v>
      </c>
      <c r="K12" s="79">
        <v>0</v>
      </c>
      <c r="L12" s="79">
        <v>0</v>
      </c>
      <c r="M12" s="79">
        <v>0</v>
      </c>
      <c r="N12" s="79">
        <v>0</v>
      </c>
      <c r="O12" s="79">
        <v>0</v>
      </c>
      <c r="P12" s="43">
        <f t="shared" si="0"/>
        <v>47000</v>
      </c>
    </row>
    <row r="13" spans="2:16" x14ac:dyDescent="0.3">
      <c r="B13" s="110"/>
      <c r="C13" s="42" t="s">
        <v>74</v>
      </c>
      <c r="D13" s="79">
        <v>477000</v>
      </c>
      <c r="E13" s="79">
        <v>0</v>
      </c>
      <c r="F13" s="79">
        <v>0</v>
      </c>
      <c r="G13" s="79">
        <v>0</v>
      </c>
      <c r="H13" s="79">
        <v>0</v>
      </c>
      <c r="I13" s="79">
        <v>0</v>
      </c>
      <c r="J13" s="79">
        <v>0</v>
      </c>
      <c r="K13" s="79">
        <v>0</v>
      </c>
      <c r="L13" s="79">
        <v>0</v>
      </c>
      <c r="M13" s="79">
        <v>0</v>
      </c>
      <c r="N13" s="79">
        <v>0</v>
      </c>
      <c r="O13" s="79">
        <v>0</v>
      </c>
      <c r="P13" s="43">
        <f t="shared" si="0"/>
        <v>477000</v>
      </c>
    </row>
    <row r="14" spans="2:16" x14ac:dyDescent="0.3">
      <c r="B14" s="110"/>
      <c r="C14" s="42" t="s">
        <v>75</v>
      </c>
      <c r="D14" s="79">
        <v>241000</v>
      </c>
      <c r="E14" s="79">
        <v>0</v>
      </c>
      <c r="F14" s="79">
        <v>0</v>
      </c>
      <c r="G14" s="79">
        <v>0</v>
      </c>
      <c r="H14" s="79">
        <v>0</v>
      </c>
      <c r="I14" s="79">
        <v>0</v>
      </c>
      <c r="J14" s="79">
        <v>0</v>
      </c>
      <c r="K14" s="79">
        <v>0</v>
      </c>
      <c r="L14" s="79">
        <v>0</v>
      </c>
      <c r="M14" s="79">
        <v>0</v>
      </c>
      <c r="N14" s="79">
        <v>0</v>
      </c>
      <c r="O14" s="79">
        <v>0</v>
      </c>
      <c r="P14" s="43">
        <f t="shared" si="0"/>
        <v>241000</v>
      </c>
    </row>
    <row r="15" spans="2:16" ht="15" thickBot="1" x14ac:dyDescent="0.35">
      <c r="B15" s="111"/>
      <c r="C15" s="80" t="s">
        <v>72</v>
      </c>
      <c r="D15" s="81">
        <v>0</v>
      </c>
      <c r="E15" s="81">
        <v>0</v>
      </c>
      <c r="F15" s="81">
        <v>0</v>
      </c>
      <c r="G15" s="81">
        <v>0</v>
      </c>
      <c r="H15" s="81">
        <v>0</v>
      </c>
      <c r="I15" s="81">
        <v>0</v>
      </c>
      <c r="J15" s="81">
        <v>0</v>
      </c>
      <c r="K15" s="81">
        <v>0</v>
      </c>
      <c r="L15" s="81">
        <v>0</v>
      </c>
      <c r="M15" s="81">
        <v>0</v>
      </c>
      <c r="N15" s="81">
        <v>0</v>
      </c>
      <c r="O15" s="81">
        <v>0</v>
      </c>
      <c r="P15" s="82">
        <f t="shared" si="0"/>
        <v>0</v>
      </c>
    </row>
    <row r="16" spans="2:16" ht="15" thickBot="1" x14ac:dyDescent="0.35">
      <c r="B16" s="112" t="s">
        <v>7</v>
      </c>
      <c r="C16" s="113"/>
      <c r="D16" s="83">
        <f>SUM(D3:D15)</f>
        <v>1838203</v>
      </c>
      <c r="E16" s="84">
        <f>SUM(E3:E15)</f>
        <v>0</v>
      </c>
      <c r="F16" s="84">
        <f>SUM(F3:F15)</f>
        <v>0</v>
      </c>
      <c r="G16" s="84">
        <f>SUM(G3:G15)</f>
        <v>0</v>
      </c>
      <c r="H16" s="84">
        <f>SUM(H3:H15)</f>
        <v>0</v>
      </c>
      <c r="I16" s="85"/>
      <c r="J16" s="85"/>
      <c r="K16" s="85"/>
      <c r="L16" s="85"/>
      <c r="M16" s="85"/>
      <c r="N16" s="85"/>
      <c r="O16" s="85"/>
      <c r="P16" s="86">
        <f t="shared" si="0"/>
        <v>1838203</v>
      </c>
    </row>
    <row r="19" spans="2:13" ht="15" thickBot="1" x14ac:dyDescent="0.35">
      <c r="B19" s="1" t="s">
        <v>76</v>
      </c>
    </row>
    <row r="20" spans="2:13" x14ac:dyDescent="0.3">
      <c r="B20" s="138">
        <v>1</v>
      </c>
      <c r="C20" s="139" t="s">
        <v>77</v>
      </c>
      <c r="D20" s="139">
        <v>27</v>
      </c>
      <c r="E20" s="140" t="s">
        <v>78</v>
      </c>
    </row>
    <row r="21" spans="2:13" x14ac:dyDescent="0.3">
      <c r="B21" s="73">
        <v>2</v>
      </c>
      <c r="C21" s="74" t="s">
        <v>119</v>
      </c>
      <c r="D21" s="74">
        <v>7</v>
      </c>
      <c r="E21" s="75" t="s">
        <v>78</v>
      </c>
    </row>
    <row r="22" spans="2:13" x14ac:dyDescent="0.3">
      <c r="B22" s="73">
        <v>3</v>
      </c>
      <c r="C22" s="74" t="s">
        <v>79</v>
      </c>
      <c r="D22" s="74">
        <v>25</v>
      </c>
      <c r="E22" s="75" t="s">
        <v>78</v>
      </c>
    </row>
    <row r="23" spans="2:13" x14ac:dyDescent="0.3">
      <c r="B23" s="73">
        <v>4</v>
      </c>
      <c r="C23" s="74" t="s">
        <v>80</v>
      </c>
      <c r="D23" s="74">
        <v>22</v>
      </c>
      <c r="E23" s="75" t="s">
        <v>78</v>
      </c>
    </row>
    <row r="24" spans="2:13" x14ac:dyDescent="0.3">
      <c r="B24" s="73">
        <v>5</v>
      </c>
      <c r="C24" s="74" t="s">
        <v>81</v>
      </c>
      <c r="D24" s="74">
        <v>11</v>
      </c>
      <c r="E24" s="75" t="s">
        <v>78</v>
      </c>
    </row>
    <row r="25" spans="2:13" x14ac:dyDescent="0.3">
      <c r="B25" s="73">
        <v>6</v>
      </c>
      <c r="C25" s="74" t="s">
        <v>82</v>
      </c>
      <c r="D25" s="74">
        <v>2</v>
      </c>
      <c r="E25" s="75" t="s">
        <v>78</v>
      </c>
    </row>
    <row r="26" spans="2:13" x14ac:dyDescent="0.3">
      <c r="B26" s="73">
        <v>7</v>
      </c>
      <c r="C26" s="74" t="s">
        <v>83</v>
      </c>
      <c r="D26" s="74">
        <v>2</v>
      </c>
      <c r="E26" s="75" t="s">
        <v>78</v>
      </c>
    </row>
    <row r="27" spans="2:13" x14ac:dyDescent="0.3">
      <c r="B27" s="73">
        <v>8</v>
      </c>
      <c r="C27" s="74" t="s">
        <v>84</v>
      </c>
      <c r="D27" s="74">
        <v>7</v>
      </c>
      <c r="E27" s="75" t="s">
        <v>78</v>
      </c>
    </row>
    <row r="28" spans="2:13" x14ac:dyDescent="0.3">
      <c r="B28" s="73">
        <v>9</v>
      </c>
      <c r="C28" s="74" t="s">
        <v>85</v>
      </c>
      <c r="D28" s="74">
        <v>3</v>
      </c>
      <c r="E28" s="75" t="s">
        <v>78</v>
      </c>
    </row>
    <row r="29" spans="2:13" ht="15" thickBot="1" x14ac:dyDescent="0.35">
      <c r="B29" s="76">
        <v>10</v>
      </c>
      <c r="C29" s="77" t="s">
        <v>85</v>
      </c>
      <c r="D29" s="77">
        <v>2</v>
      </c>
      <c r="E29" s="78" t="s">
        <v>78</v>
      </c>
      <c r="M29" t="s">
        <v>88</v>
      </c>
    </row>
    <row r="30" spans="2:13" ht="15" thickBot="1" x14ac:dyDescent="0.35">
      <c r="B30" s="141"/>
      <c r="C30" s="142" t="s">
        <v>86</v>
      </c>
      <c r="D30" s="142">
        <v>108</v>
      </c>
      <c r="E30" s="143" t="s">
        <v>78</v>
      </c>
    </row>
    <row r="31" spans="2:13" x14ac:dyDescent="0.3">
      <c r="C31" t="s">
        <v>87</v>
      </c>
    </row>
  </sheetData>
  <mergeCells count="4">
    <mergeCell ref="C1:P1"/>
    <mergeCell ref="B3:B9"/>
    <mergeCell ref="B10:B15"/>
    <mergeCell ref="B16:C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2F937-F767-46B0-9BE9-808FB0E3C80E}">
  <dimension ref="C2:P20"/>
  <sheetViews>
    <sheetView workbookViewId="0">
      <selection activeCell="H20" sqref="H20"/>
    </sheetView>
  </sheetViews>
  <sheetFormatPr defaultRowHeight="15.6" x14ac:dyDescent="0.3"/>
  <cols>
    <col min="1" max="2" width="8.88671875" style="46"/>
    <col min="3" max="3" width="25.77734375" style="46" bestFit="1" customWidth="1"/>
    <col min="4" max="4" width="8.77734375" style="46" bestFit="1" customWidth="1"/>
    <col min="5" max="6" width="8.88671875" style="46"/>
    <col min="7" max="7" width="29.77734375" style="46" bestFit="1" customWidth="1"/>
    <col min="8" max="8" width="8.77734375" style="46" bestFit="1" customWidth="1"/>
    <col min="9" max="13" width="8.88671875" style="46"/>
    <col min="14" max="14" width="10.44140625" style="46" bestFit="1" customWidth="1"/>
    <col min="15" max="15" width="7.21875" style="46" bestFit="1" customWidth="1"/>
    <col min="16" max="16" width="14.5546875" style="46" bestFit="1" customWidth="1"/>
    <col min="17" max="16384" width="8.88671875" style="46"/>
  </cols>
  <sheetData>
    <row r="2" spans="3:16" ht="16.2" thickBot="1" x14ac:dyDescent="0.35"/>
    <row r="3" spans="3:16" ht="16.2" thickBot="1" x14ac:dyDescent="0.35">
      <c r="C3" s="47" t="s">
        <v>0</v>
      </c>
      <c r="G3" s="47" t="s">
        <v>1</v>
      </c>
      <c r="K3" s="123" t="s">
        <v>47</v>
      </c>
      <c r="L3" s="124"/>
      <c r="M3" s="124"/>
      <c r="N3" s="124"/>
      <c r="O3" s="124"/>
      <c r="P3" s="125"/>
    </row>
    <row r="4" spans="3:16" x14ac:dyDescent="0.3">
      <c r="C4" s="48" t="s">
        <v>2</v>
      </c>
      <c r="D4" s="49">
        <v>102000</v>
      </c>
      <c r="E4" s="47" t="s">
        <v>3</v>
      </c>
      <c r="G4" s="48" t="s">
        <v>4</v>
      </c>
      <c r="H4" s="49">
        <v>123495</v>
      </c>
      <c r="I4" s="47" t="s">
        <v>3</v>
      </c>
      <c r="K4" s="126" t="s">
        <v>48</v>
      </c>
      <c r="L4" s="127"/>
      <c r="M4" s="127"/>
      <c r="N4" s="50" t="s">
        <v>49</v>
      </c>
      <c r="O4" s="50" t="s">
        <v>50</v>
      </c>
      <c r="P4" s="51" t="s">
        <v>51</v>
      </c>
    </row>
    <row r="5" spans="3:16" ht="16.2" thickBot="1" x14ac:dyDescent="0.35">
      <c r="C5" s="52" t="s">
        <v>2</v>
      </c>
      <c r="D5" s="53">
        <v>200000</v>
      </c>
      <c r="E5" s="47" t="s">
        <v>3</v>
      </c>
      <c r="G5" s="54" t="s">
        <v>5</v>
      </c>
      <c r="H5" s="55">
        <v>231680</v>
      </c>
      <c r="I5" s="47" t="s">
        <v>3</v>
      </c>
      <c r="K5" s="128" t="s">
        <v>52</v>
      </c>
      <c r="L5" s="129"/>
      <c r="M5" s="129"/>
      <c r="N5" s="56">
        <v>18359</v>
      </c>
      <c r="O5" s="56">
        <v>50</v>
      </c>
      <c r="P5" s="57">
        <f>PRODUCT(N5:O5)</f>
        <v>917950</v>
      </c>
    </row>
    <row r="6" spans="3:16" ht="16.2" thickBot="1" x14ac:dyDescent="0.35">
      <c r="C6" s="52" t="s">
        <v>6</v>
      </c>
      <c r="D6" s="53">
        <v>175000</v>
      </c>
      <c r="E6" s="47" t="s">
        <v>3</v>
      </c>
      <c r="G6" s="58" t="s">
        <v>7</v>
      </c>
      <c r="H6" s="59">
        <f>SUM(H4:H5)</f>
        <v>355175</v>
      </c>
      <c r="I6" s="47" t="s">
        <v>3</v>
      </c>
      <c r="K6" s="128" t="s">
        <v>53</v>
      </c>
      <c r="L6" s="129"/>
      <c r="M6" s="129"/>
      <c r="N6" s="56">
        <v>623</v>
      </c>
      <c r="O6" s="56">
        <v>40</v>
      </c>
      <c r="P6" s="57">
        <f>PRODUCT(N6:O6)</f>
        <v>24920</v>
      </c>
    </row>
    <row r="7" spans="3:16" x14ac:dyDescent="0.3">
      <c r="C7" s="52" t="s">
        <v>6</v>
      </c>
      <c r="D7" s="53">
        <v>60000</v>
      </c>
      <c r="E7" s="47" t="s">
        <v>3</v>
      </c>
      <c r="K7" s="128" t="s">
        <v>54</v>
      </c>
      <c r="L7" s="129"/>
      <c r="M7" s="129"/>
      <c r="N7" s="56"/>
      <c r="O7" s="56"/>
      <c r="P7" s="57">
        <v>926740</v>
      </c>
    </row>
    <row r="8" spans="3:16" ht="16.2" thickBot="1" x14ac:dyDescent="0.35">
      <c r="C8" s="52" t="s">
        <v>6</v>
      </c>
      <c r="D8" s="53">
        <v>13000</v>
      </c>
      <c r="E8" s="47" t="s">
        <v>3</v>
      </c>
      <c r="G8" s="47" t="s">
        <v>8</v>
      </c>
      <c r="K8" s="130" t="s">
        <v>55</v>
      </c>
      <c r="L8" s="131"/>
      <c r="M8" s="131"/>
      <c r="N8" s="60"/>
      <c r="O8" s="60"/>
      <c r="P8" s="53">
        <v>15000</v>
      </c>
    </row>
    <row r="9" spans="3:16" x14ac:dyDescent="0.3">
      <c r="C9" s="52" t="s">
        <v>6</v>
      </c>
      <c r="D9" s="53">
        <v>50000</v>
      </c>
      <c r="E9" s="47" t="s">
        <v>3</v>
      </c>
      <c r="G9" s="48" t="s">
        <v>4</v>
      </c>
      <c r="H9" s="49">
        <v>178000</v>
      </c>
      <c r="I9" s="47" t="s">
        <v>3</v>
      </c>
      <c r="K9" s="130" t="s">
        <v>56</v>
      </c>
      <c r="L9" s="131"/>
      <c r="M9" s="131"/>
      <c r="N9" s="60"/>
      <c r="O9" s="60"/>
      <c r="P9" s="53">
        <v>35400</v>
      </c>
    </row>
    <row r="10" spans="3:16" ht="16.2" thickBot="1" x14ac:dyDescent="0.35">
      <c r="C10" s="54" t="s">
        <v>6</v>
      </c>
      <c r="D10" s="55">
        <v>30000</v>
      </c>
      <c r="E10" s="47" t="s">
        <v>3</v>
      </c>
      <c r="G10" s="54" t="s">
        <v>5</v>
      </c>
      <c r="H10" s="55">
        <v>135000</v>
      </c>
      <c r="I10" s="47" t="s">
        <v>3</v>
      </c>
      <c r="K10" s="130" t="s">
        <v>57</v>
      </c>
      <c r="L10" s="131"/>
      <c r="M10" s="131"/>
      <c r="N10" s="60"/>
      <c r="O10" s="60"/>
      <c r="P10" s="53">
        <v>24500</v>
      </c>
    </row>
    <row r="11" spans="3:16" ht="16.2" thickBot="1" x14ac:dyDescent="0.35">
      <c r="C11" s="58" t="s">
        <v>7</v>
      </c>
      <c r="D11" s="59">
        <f>SUM(D4:D10)</f>
        <v>630000</v>
      </c>
      <c r="E11" s="47" t="s">
        <v>3</v>
      </c>
      <c r="G11" s="58" t="s">
        <v>7</v>
      </c>
      <c r="H11" s="59">
        <f>SUM(H9:H10)</f>
        <v>313000</v>
      </c>
      <c r="I11" s="47" t="s">
        <v>3</v>
      </c>
      <c r="K11" s="130" t="s">
        <v>58</v>
      </c>
      <c r="L11" s="131"/>
      <c r="M11" s="131"/>
      <c r="N11" s="60"/>
      <c r="O11" s="60"/>
      <c r="P11" s="53">
        <v>13660</v>
      </c>
    </row>
    <row r="12" spans="3:16" ht="16.2" thickBot="1" x14ac:dyDescent="0.35">
      <c r="K12" s="132" t="s">
        <v>59</v>
      </c>
      <c r="L12" s="133"/>
      <c r="M12" s="133"/>
      <c r="N12" s="61"/>
      <c r="O12" s="61"/>
      <c r="P12" s="55">
        <v>48781</v>
      </c>
    </row>
    <row r="13" spans="3:16" ht="16.2" thickBot="1" x14ac:dyDescent="0.35">
      <c r="K13" s="134" t="s">
        <v>60</v>
      </c>
      <c r="L13" s="135"/>
      <c r="M13" s="135"/>
      <c r="N13" s="62"/>
      <c r="O13" s="62"/>
      <c r="P13" s="63">
        <f>SUM(P5:P12)</f>
        <v>2006951</v>
      </c>
    </row>
    <row r="14" spans="3:16" ht="16.2" thickBot="1" x14ac:dyDescent="0.35">
      <c r="C14" s="47" t="s">
        <v>9</v>
      </c>
      <c r="G14" s="47" t="s">
        <v>10</v>
      </c>
    </row>
    <row r="15" spans="3:16" x14ac:dyDescent="0.3">
      <c r="C15" s="48" t="s">
        <v>11</v>
      </c>
      <c r="D15" s="49">
        <v>381628</v>
      </c>
      <c r="E15" s="47" t="s">
        <v>3</v>
      </c>
      <c r="G15" s="48" t="s">
        <v>2</v>
      </c>
      <c r="H15" s="49">
        <v>0</v>
      </c>
      <c r="I15" s="47"/>
    </row>
    <row r="16" spans="3:16" ht="16.2" thickBot="1" x14ac:dyDescent="0.35">
      <c r="C16" s="52" t="s">
        <v>12</v>
      </c>
      <c r="D16" s="53">
        <v>327089</v>
      </c>
      <c r="E16" s="47" t="s">
        <v>3</v>
      </c>
      <c r="G16" s="54" t="s">
        <v>13</v>
      </c>
      <c r="H16" s="55">
        <v>1325000</v>
      </c>
      <c r="I16" s="47"/>
    </row>
    <row r="17" spans="3:14" ht="16.2" thickBot="1" x14ac:dyDescent="0.35">
      <c r="C17" s="52" t="s">
        <v>14</v>
      </c>
      <c r="D17" s="53">
        <v>150000</v>
      </c>
      <c r="E17" s="47" t="s">
        <v>3</v>
      </c>
      <c r="G17" s="58" t="s">
        <v>7</v>
      </c>
      <c r="H17" s="59">
        <f>SUM(H15:H16)</f>
        <v>1325000</v>
      </c>
      <c r="I17" s="47"/>
      <c r="K17" s="114" t="s">
        <v>61</v>
      </c>
      <c r="L17" s="115"/>
      <c r="M17" s="116"/>
      <c r="N17" s="64">
        <v>3472529</v>
      </c>
    </row>
    <row r="18" spans="3:14" ht="16.2" thickBot="1" x14ac:dyDescent="0.35">
      <c r="C18" s="52" t="s">
        <v>6</v>
      </c>
      <c r="D18" s="53">
        <v>425000</v>
      </c>
      <c r="E18" s="47" t="s">
        <v>3</v>
      </c>
      <c r="K18" s="117"/>
      <c r="L18" s="118"/>
      <c r="M18" s="119"/>
      <c r="N18" s="65">
        <f>P13</f>
        <v>2006951</v>
      </c>
    </row>
    <row r="19" spans="3:14" ht="16.2" thickBot="1" x14ac:dyDescent="0.35">
      <c r="C19" s="54" t="s">
        <v>15</v>
      </c>
      <c r="D19" s="55">
        <v>20000</v>
      </c>
      <c r="E19" s="47" t="s">
        <v>3</v>
      </c>
      <c r="K19" s="120"/>
      <c r="L19" s="121"/>
      <c r="M19" s="122"/>
      <c r="N19" s="66">
        <f>SUM(N17:N18)</f>
        <v>5479480</v>
      </c>
    </row>
    <row r="20" spans="3:14" ht="16.2" thickBot="1" x14ac:dyDescent="0.35">
      <c r="C20" s="58" t="s">
        <v>7</v>
      </c>
      <c r="D20" s="59">
        <f>SUM(D15:D19)</f>
        <v>1303717</v>
      </c>
      <c r="E20" s="47" t="s">
        <v>3</v>
      </c>
    </row>
  </sheetData>
  <mergeCells count="12">
    <mergeCell ref="K17:M19"/>
    <mergeCell ref="K3:P3"/>
    <mergeCell ref="K4:M4"/>
    <mergeCell ref="K5:M5"/>
    <mergeCell ref="K6:M6"/>
    <mergeCell ref="K7:M7"/>
    <mergeCell ref="K8:M8"/>
    <mergeCell ref="K9:M9"/>
    <mergeCell ref="K10:M10"/>
    <mergeCell ref="K11:M11"/>
    <mergeCell ref="K12:M12"/>
    <mergeCell ref="K13:M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Calculation</vt:lpstr>
      <vt:lpstr>Monthly Expenditure Calculation</vt:lpstr>
      <vt:lpstr>Total Saving Calculation</vt:lpstr>
      <vt:lpstr>Krisala 41 Elite F-803 Total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</dc:creator>
  <cp:lastModifiedBy>Ashwini Wandre</cp:lastModifiedBy>
  <dcterms:created xsi:type="dcterms:W3CDTF">2015-06-05T18:17:20Z</dcterms:created>
  <dcterms:modified xsi:type="dcterms:W3CDTF">2026-08-07T13:12:36Z</dcterms:modified>
</cp:coreProperties>
</file>