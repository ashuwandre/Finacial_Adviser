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y Expenses\"/>
    </mc:Choice>
  </mc:AlternateContent>
  <xr:revisionPtr revIDLastSave="0" documentId="13_ncr:1_{C49628D9-7C1C-4861-A28B-6A77AE710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Calcula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F35" i="3"/>
  <c r="C19" i="3"/>
</calcChain>
</file>

<file path=xl/sharedStrings.xml><?xml version="1.0" encoding="utf-8"?>
<sst xmlns="http://schemas.openxmlformats.org/spreadsheetml/2006/main" count="71" uniqueCount="63">
  <si>
    <t>Amount</t>
  </si>
  <si>
    <t>Flat Price</t>
  </si>
  <si>
    <t>Ashwini PF</t>
  </si>
  <si>
    <t>Type</t>
  </si>
  <si>
    <t>Ashwini iwish</t>
  </si>
  <si>
    <t>Ashwini Shares</t>
  </si>
  <si>
    <t>Ashwini Mutual Fund</t>
  </si>
  <si>
    <t>Gold Loan</t>
  </si>
  <si>
    <t>Ashwini Salary</t>
  </si>
  <si>
    <t>Sachin Salary</t>
  </si>
  <si>
    <t>Total</t>
  </si>
  <si>
    <t>Registration Fee</t>
  </si>
  <si>
    <t>Brokrage Smit Sable</t>
  </si>
  <si>
    <t>Bank Advocate</t>
  </si>
  <si>
    <t>NOC Charges</t>
  </si>
  <si>
    <t>SBI Charges I</t>
  </si>
  <si>
    <t>SBI Loan Process Fee</t>
  </si>
  <si>
    <t>CA Charges</t>
  </si>
  <si>
    <t>Advocate Fee</t>
  </si>
  <si>
    <t>Property Insurance</t>
  </si>
  <si>
    <t>SBI NOI Charge</t>
  </si>
  <si>
    <t>Home Vastu Shanti</t>
  </si>
  <si>
    <t>Saftey Grill</t>
  </si>
  <si>
    <t>Electricity Materials</t>
  </si>
  <si>
    <t>Wooden Street</t>
  </si>
  <si>
    <t>Ambika Electronis</t>
  </si>
  <si>
    <t>Banker</t>
  </si>
  <si>
    <t>Dry Balcony Safety</t>
  </si>
  <si>
    <t>Dining Table</t>
  </si>
  <si>
    <t>Chairs</t>
  </si>
  <si>
    <t>Show Material</t>
  </si>
  <si>
    <t>Matress</t>
  </si>
  <si>
    <t>Curtains</t>
  </si>
  <si>
    <t>Bedsheet</t>
  </si>
  <si>
    <t>Sofa Cover</t>
  </si>
  <si>
    <t>Dusbin</t>
  </si>
  <si>
    <t>Kitchen Material</t>
  </si>
  <si>
    <t>Mandir</t>
  </si>
  <si>
    <t>Other Expences</t>
  </si>
  <si>
    <t>Painting</t>
  </si>
  <si>
    <t>Electricity Work</t>
  </si>
  <si>
    <t>Refrigerator</t>
  </si>
  <si>
    <t>Orient Bulb</t>
  </si>
  <si>
    <t>Gyser Installation</t>
  </si>
  <si>
    <t>Mirror</t>
  </si>
  <si>
    <t>Broadband</t>
  </si>
  <si>
    <t>Power Backup</t>
  </si>
  <si>
    <t>SKM Interior</t>
  </si>
  <si>
    <t>Property Tax</t>
  </si>
  <si>
    <t>Property Transfer Fee</t>
  </si>
  <si>
    <t>Total Flat Amount</t>
  </si>
  <si>
    <t>Godrej Safety</t>
  </si>
  <si>
    <t>Chimney Installation</t>
  </si>
  <si>
    <t>Filter Fitting</t>
  </si>
  <si>
    <t>Bathroom Fitting</t>
  </si>
  <si>
    <t>Interior Work &amp; Others</t>
  </si>
  <si>
    <t>Total Flat Price</t>
  </si>
  <si>
    <t>Interior Work</t>
  </si>
  <si>
    <t>IKEA</t>
  </si>
  <si>
    <t>Balcony Trees</t>
  </si>
  <si>
    <t>Cloth Stand</t>
  </si>
  <si>
    <t>Adjusted Amount</t>
  </si>
  <si>
    <t>Loan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</si>
</sst>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1" fillId="2" borderId="2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5" xfId="0" applyFill="1" applyBorder="1" applyAlignment="1">
      <alignment wrapText="1"/>
    </xf>
    <xf numFmtId="0" fontId="1" fillId="2" borderId="11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0" fillId="5" borderId="13" xfId="0" applyFill="1" applyBorder="1"/>
    <xf numFmtId="0" fontId="0" fillId="5" borderId="14" xfId="0" applyFill="1" applyBorder="1"/>
    <xf numFmtId="0" fontId="0" fillId="5" borderId="9" xfId="0" applyFill="1" applyBorder="1"/>
    <xf numFmtId="0" fontId="0" fillId="5" borderId="10" xfId="0" applyFill="1" applyBorder="1"/>
    <xf numFmtId="0" fontId="2" fillId="0" borderId="0" xfId="0" applyFont="1"/>
    <xf numFmtId="0" fontId="0" fillId="5" borderId="15" xfId="0" applyFill="1" applyBorder="1"/>
    <xf numFmtId="0" fontId="0" fillId="5" borderId="16" xfId="0" applyFill="1" applyBorder="1"/>
    <xf numFmtId="0" fontId="0" fillId="6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35AD-FBAC-4737-B6AC-2895882A2682}">
  <dimension ref="B1:P35"/>
  <sheetViews>
    <sheetView tabSelected="1" workbookViewId="0">
      <selection activeCell="K19" sqref="K19"/>
    </sheetView>
  </sheetViews>
  <sheetFormatPr defaultRowHeight="14.4" x14ac:dyDescent="0.3"/>
  <cols>
    <col min="2" max="2" width="18.6640625" customWidth="1"/>
    <col min="3" max="3" width="9" bestFit="1" customWidth="1"/>
    <col min="5" max="5" width="18" bestFit="1" customWidth="1"/>
    <col min="6" max="6" width="8" bestFit="1" customWidth="1"/>
    <col min="8" max="8" width="16.88671875" bestFit="1" customWidth="1"/>
    <col min="11" max="11" width="18" bestFit="1" customWidth="1"/>
  </cols>
  <sheetData>
    <row r="1" spans="2:16" ht="18.600000000000001" thickBot="1" x14ac:dyDescent="0.4">
      <c r="B1" s="22" t="s">
        <v>50</v>
      </c>
      <c r="E1" s="22" t="s">
        <v>55</v>
      </c>
      <c r="H1" s="22" t="s">
        <v>56</v>
      </c>
      <c r="K1" s="22" t="s">
        <v>61</v>
      </c>
    </row>
    <row r="2" spans="2:16" ht="15" thickBot="1" x14ac:dyDescent="0.35">
      <c r="B2" s="16" t="s">
        <v>3</v>
      </c>
      <c r="C2" s="17" t="s">
        <v>0</v>
      </c>
      <c r="E2" s="16" t="s">
        <v>3</v>
      </c>
      <c r="F2" s="17" t="s">
        <v>0</v>
      </c>
      <c r="H2" s="11" t="s">
        <v>1</v>
      </c>
      <c r="I2" s="12">
        <v>10968020</v>
      </c>
      <c r="K2" s="1" t="s">
        <v>3</v>
      </c>
      <c r="L2" s="10" t="s">
        <v>0</v>
      </c>
    </row>
    <row r="3" spans="2:16" ht="15" thickBot="1" x14ac:dyDescent="0.35">
      <c r="B3" s="18" t="s">
        <v>1</v>
      </c>
      <c r="C3" s="19">
        <v>9350000</v>
      </c>
      <c r="E3" s="11" t="s">
        <v>47</v>
      </c>
      <c r="F3" s="12">
        <v>675000</v>
      </c>
      <c r="H3" s="20" t="s">
        <v>57</v>
      </c>
      <c r="I3" s="21">
        <v>1254627</v>
      </c>
      <c r="K3" s="2" t="s">
        <v>2</v>
      </c>
      <c r="L3" s="3">
        <v>300000</v>
      </c>
    </row>
    <row r="4" spans="2:16" ht="15" thickBot="1" x14ac:dyDescent="0.35">
      <c r="B4" s="13" t="s">
        <v>11</v>
      </c>
      <c r="C4" s="14">
        <v>706500</v>
      </c>
      <c r="E4" s="13" t="s">
        <v>23</v>
      </c>
      <c r="F4" s="14">
        <v>63500</v>
      </c>
      <c r="H4" s="8" t="s">
        <v>10</v>
      </c>
      <c r="I4" s="9">
        <f>SUM(I2:I3)</f>
        <v>12222647</v>
      </c>
      <c r="K4" s="4" t="s">
        <v>4</v>
      </c>
      <c r="L4" s="5">
        <v>82000</v>
      </c>
    </row>
    <row r="5" spans="2:16" x14ac:dyDescent="0.3">
      <c r="B5" s="13" t="s">
        <v>62</v>
      </c>
      <c r="C5" s="14">
        <v>558000</v>
      </c>
      <c r="E5" s="13" t="s">
        <v>24</v>
      </c>
      <c r="F5" s="14">
        <v>63208</v>
      </c>
      <c r="K5" s="4" t="s">
        <v>5</v>
      </c>
      <c r="L5" s="5">
        <v>234783</v>
      </c>
    </row>
    <row r="6" spans="2:16" x14ac:dyDescent="0.3">
      <c r="B6" s="13" t="s">
        <v>12</v>
      </c>
      <c r="C6" s="14">
        <v>125000</v>
      </c>
      <c r="E6" s="13" t="s">
        <v>39</v>
      </c>
      <c r="F6" s="14">
        <v>60000</v>
      </c>
      <c r="K6" s="4" t="s">
        <v>6</v>
      </c>
      <c r="L6" s="5">
        <v>252056</v>
      </c>
    </row>
    <row r="7" spans="2:16" x14ac:dyDescent="0.3">
      <c r="B7" s="13" t="s">
        <v>49</v>
      </c>
      <c r="C7" s="14">
        <v>46770</v>
      </c>
      <c r="E7" s="13" t="s">
        <v>32</v>
      </c>
      <c r="F7" s="14">
        <v>51000</v>
      </c>
      <c r="K7" s="4" t="s">
        <v>8</v>
      </c>
      <c r="L7" s="5">
        <v>173000</v>
      </c>
    </row>
    <row r="8" spans="2:16" x14ac:dyDescent="0.3">
      <c r="B8" s="13" t="s">
        <v>18</v>
      </c>
      <c r="C8" s="14">
        <v>30000</v>
      </c>
      <c r="E8" s="13" t="s">
        <v>31</v>
      </c>
      <c r="F8" s="14">
        <v>45000</v>
      </c>
      <c r="K8" s="4" t="s">
        <v>9</v>
      </c>
      <c r="L8" s="5">
        <v>110000</v>
      </c>
    </row>
    <row r="9" spans="2:16" ht="15" thickBot="1" x14ac:dyDescent="0.35">
      <c r="B9" s="13" t="s">
        <v>15</v>
      </c>
      <c r="C9" s="14">
        <v>29800</v>
      </c>
      <c r="E9" s="13" t="s">
        <v>38</v>
      </c>
      <c r="F9" s="14">
        <v>60000</v>
      </c>
      <c r="K9" s="6" t="s">
        <v>7</v>
      </c>
      <c r="L9" s="7">
        <v>590000</v>
      </c>
    </row>
    <row r="10" spans="2:16" ht="15" thickBot="1" x14ac:dyDescent="0.35">
      <c r="B10" s="13" t="s">
        <v>48</v>
      </c>
      <c r="C10" s="14">
        <v>24500</v>
      </c>
      <c r="E10" s="13" t="s">
        <v>40</v>
      </c>
      <c r="F10" s="14">
        <v>30000</v>
      </c>
      <c r="K10" s="8" t="s">
        <v>10</v>
      </c>
      <c r="L10" s="9">
        <v>1741839</v>
      </c>
    </row>
    <row r="11" spans="2:16" x14ac:dyDescent="0.3">
      <c r="B11" s="13" t="s">
        <v>19</v>
      </c>
      <c r="C11" s="14">
        <v>24182</v>
      </c>
      <c r="E11" s="13" t="s">
        <v>41</v>
      </c>
      <c r="F11" s="14">
        <v>29600</v>
      </c>
    </row>
    <row r="12" spans="2:16" x14ac:dyDescent="0.3">
      <c r="B12" s="13" t="s">
        <v>14</v>
      </c>
      <c r="C12" s="14">
        <v>20000</v>
      </c>
      <c r="E12" s="13" t="s">
        <v>22</v>
      </c>
      <c r="F12" s="14">
        <v>21500</v>
      </c>
    </row>
    <row r="13" spans="2:16" x14ac:dyDescent="0.3">
      <c r="B13" s="15" t="s">
        <v>20</v>
      </c>
      <c r="C13" s="14">
        <v>16300</v>
      </c>
      <c r="E13" s="13" t="s">
        <v>36</v>
      </c>
      <c r="F13" s="14">
        <v>20000</v>
      </c>
    </row>
    <row r="14" spans="2:16" x14ac:dyDescent="0.3">
      <c r="B14" s="15" t="s">
        <v>21</v>
      </c>
      <c r="C14" s="14">
        <v>15556</v>
      </c>
      <c r="E14" s="13" t="s">
        <v>46</v>
      </c>
      <c r="F14" s="14">
        <v>19500</v>
      </c>
    </row>
    <row r="15" spans="2:16" x14ac:dyDescent="0.3">
      <c r="B15" s="13" t="s">
        <v>16</v>
      </c>
      <c r="C15" s="14">
        <v>10912</v>
      </c>
      <c r="E15" s="13" t="s">
        <v>28</v>
      </c>
      <c r="F15" s="14">
        <v>14732</v>
      </c>
    </row>
    <row r="16" spans="2:16" x14ac:dyDescent="0.3">
      <c r="B16" s="13" t="s">
        <v>26</v>
      </c>
      <c r="C16" s="14">
        <v>5000</v>
      </c>
      <c r="E16" s="13" t="s">
        <v>59</v>
      </c>
      <c r="F16" s="14">
        <v>12000</v>
      </c>
      <c r="O16" s="25"/>
      <c r="P16" s="25"/>
    </row>
    <row r="17" spans="2:6" x14ac:dyDescent="0.3">
      <c r="B17" s="13" t="s">
        <v>13</v>
      </c>
      <c r="C17" s="14">
        <v>4000</v>
      </c>
      <c r="E17" s="13" t="s">
        <v>51</v>
      </c>
      <c r="F17" s="14">
        <v>11997</v>
      </c>
    </row>
    <row r="18" spans="2:6" ht="15" thickBot="1" x14ac:dyDescent="0.35">
      <c r="B18" s="13" t="s">
        <v>17</v>
      </c>
      <c r="C18" s="14">
        <v>1500</v>
      </c>
      <c r="E18" s="13" t="s">
        <v>37</v>
      </c>
      <c r="F18" s="14">
        <v>11000</v>
      </c>
    </row>
    <row r="19" spans="2:6" ht="15" thickBot="1" x14ac:dyDescent="0.35">
      <c r="B19" s="8" t="s">
        <v>10</v>
      </c>
      <c r="C19" s="9">
        <f>SUM(C2:C18)</f>
        <v>10968020</v>
      </c>
      <c r="E19" s="13" t="s">
        <v>45</v>
      </c>
      <c r="F19" s="14">
        <v>8000</v>
      </c>
    </row>
    <row r="20" spans="2:6" x14ac:dyDescent="0.3">
      <c r="E20" s="13" t="s">
        <v>27</v>
      </c>
      <c r="F20" s="14">
        <v>7000</v>
      </c>
    </row>
    <row r="21" spans="2:6" x14ac:dyDescent="0.3">
      <c r="E21" s="23" t="s">
        <v>58</v>
      </c>
      <c r="F21" s="24">
        <v>6500</v>
      </c>
    </row>
    <row r="22" spans="2:6" x14ac:dyDescent="0.3">
      <c r="E22" s="13" t="s">
        <v>42</v>
      </c>
      <c r="F22" s="14">
        <v>6400</v>
      </c>
    </row>
    <row r="23" spans="2:6" x14ac:dyDescent="0.3">
      <c r="E23" s="13" t="s">
        <v>60</v>
      </c>
      <c r="F23" s="14">
        <v>6000</v>
      </c>
    </row>
    <row r="24" spans="2:6" x14ac:dyDescent="0.3">
      <c r="E24" s="13" t="s">
        <v>29</v>
      </c>
      <c r="F24" s="14">
        <v>5450</v>
      </c>
    </row>
    <row r="25" spans="2:6" x14ac:dyDescent="0.3">
      <c r="E25" s="13" t="s">
        <v>30</v>
      </c>
      <c r="F25" s="14">
        <v>5000</v>
      </c>
    </row>
    <row r="26" spans="2:6" x14ac:dyDescent="0.3">
      <c r="E26" s="13" t="s">
        <v>33</v>
      </c>
      <c r="F26" s="14">
        <v>5000</v>
      </c>
    </row>
    <row r="27" spans="2:6" x14ac:dyDescent="0.3">
      <c r="E27" s="13" t="s">
        <v>44</v>
      </c>
      <c r="F27" s="14">
        <v>4300</v>
      </c>
    </row>
    <row r="28" spans="2:6" x14ac:dyDescent="0.3">
      <c r="E28" s="13" t="s">
        <v>25</v>
      </c>
      <c r="F28" s="14">
        <v>3200</v>
      </c>
    </row>
    <row r="29" spans="2:6" x14ac:dyDescent="0.3">
      <c r="E29" s="13" t="s">
        <v>52</v>
      </c>
      <c r="F29" s="14">
        <v>2500</v>
      </c>
    </row>
    <row r="30" spans="2:6" x14ac:dyDescent="0.3">
      <c r="E30" s="13" t="s">
        <v>35</v>
      </c>
      <c r="F30" s="14">
        <v>2000</v>
      </c>
    </row>
    <row r="31" spans="2:6" x14ac:dyDescent="0.3">
      <c r="E31" s="13" t="s">
        <v>54</v>
      </c>
      <c r="F31" s="14">
        <v>1500</v>
      </c>
    </row>
    <row r="32" spans="2:6" x14ac:dyDescent="0.3">
      <c r="E32" s="13" t="s">
        <v>43</v>
      </c>
      <c r="F32" s="14">
        <v>1300</v>
      </c>
    </row>
    <row r="33" spans="5:6" x14ac:dyDescent="0.3">
      <c r="E33" s="13" t="s">
        <v>53</v>
      </c>
      <c r="F33" s="14">
        <v>1240</v>
      </c>
    </row>
    <row r="34" spans="5:6" ht="15" thickBot="1" x14ac:dyDescent="0.35">
      <c r="E34" s="20" t="s">
        <v>34</v>
      </c>
      <c r="F34" s="21">
        <v>1200</v>
      </c>
    </row>
    <row r="35" spans="5:6" ht="15" thickBot="1" x14ac:dyDescent="0.35">
      <c r="E35" s="8" t="s">
        <v>10</v>
      </c>
      <c r="F35" s="9">
        <f>SUM(F3:F34)</f>
        <v>1254627</v>
      </c>
    </row>
  </sheetData>
  <sortState xmlns:xlrd2="http://schemas.microsoft.com/office/spreadsheetml/2017/richdata2" ref="E1:F40">
    <sortCondition descending="1" ref="F1:F4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Ashwini Wandre</cp:lastModifiedBy>
  <dcterms:created xsi:type="dcterms:W3CDTF">2015-06-05T18:17:20Z</dcterms:created>
  <dcterms:modified xsi:type="dcterms:W3CDTF">2026-08-07T12:41:39Z</dcterms:modified>
</cp:coreProperties>
</file>